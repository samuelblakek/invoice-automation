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giftuniverse.sharepoint.com/sites/Shared/Shared Documents/Retail Operations/Store Operations Documentation/RETAIL ASSIST/- RETAIL SUPPORT/Budget Control Sheets/"/>
    </mc:Choice>
  </mc:AlternateContent>
  <xr:revisionPtr revIDLastSave="2213" documentId="13_ncr:1_{DB532721-6DBD-4465-A788-D66515AE820A}" xr6:coauthVersionLast="47" xr6:coauthVersionMax="47" xr10:uidLastSave="{0948D06B-FC62-43BE-8DA8-17797031F7BE}"/>
  <bookViews>
    <workbookView xWindow="-28920" yWindow="-75" windowWidth="29040" windowHeight="15720" tabRatio="532" activeTab="4" xr2:uid="{E17AD7A9-34FD-4A37-A4FB-553724E6B490}"/>
  </bookViews>
  <sheets>
    <sheet name="GENERAL" sheetId="1" r:id="rId1"/>
    <sheet name="APS" sheetId="2" r:id="rId2"/>
    <sheet name="COMPCO" sheetId="3" r:id="rId3"/>
    <sheet name="PHS" sheetId="6" r:id="rId4"/>
    <sheet name="BINS" sheetId="9" r:id="rId5"/>
    <sheet name="Temp Opens" sheetId="7" r:id="rId6"/>
    <sheet name="Temp Closes" sheetId="5" r:id="rId7"/>
    <sheet name="CODES" sheetId="4" r:id="rId8"/>
  </sheets>
  <definedNames>
    <definedName name="_xlnm._FilterDatabase" localSheetId="1" hidden="1">APS!$A$2:$M$433</definedName>
    <definedName name="_xlnm._FilterDatabase" localSheetId="4" hidden="1">BINS!$A$2:$L$2</definedName>
    <definedName name="_xlnm._FilterDatabase" localSheetId="2" hidden="1">COMPCO!$A$2:$M$321</definedName>
    <definedName name="_xlnm._FilterDatabase" localSheetId="0" hidden="1">GENERAL!$A$2:$N$186</definedName>
    <definedName name="_xlnm._FilterDatabase" localSheetId="3" hidden="1">PHS!$A$2:$L$250</definedName>
    <definedName name="_xlnm._FilterDatabase" localSheetId="6" hidden="1">'Temp Closes'!$A$1:$K$1</definedName>
    <definedName name="_xlnm._FilterDatabase" localSheetId="5" hidden="1">'Temp Opens'!$A$1:$P$1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 i="9" l="1"/>
  <c r="G17" i="9" s="1"/>
  <c r="F14" i="9" l="1"/>
  <c r="G14" i="9" s="1"/>
  <c r="I189" i="1"/>
  <c r="H189" i="1"/>
  <c r="I188" i="1"/>
  <c r="H188" i="1"/>
  <c r="H187" i="1"/>
  <c r="I187" i="1" s="1"/>
  <c r="H186" i="1"/>
  <c r="I186" i="1" s="1"/>
  <c r="H185" i="1"/>
  <c r="I185" i="1" s="1"/>
  <c r="H184" i="1"/>
  <c r="I184" i="1" s="1"/>
  <c r="H183" i="1" l="1"/>
  <c r="I183" i="1" s="1"/>
  <c r="H182" i="1"/>
  <c r="I182" i="1" s="1"/>
  <c r="H180" i="1" l="1"/>
  <c r="I180" i="1" s="1"/>
  <c r="H181" i="1"/>
  <c r="I181" i="1" s="1"/>
  <c r="G59" i="6"/>
  <c r="G60" i="6"/>
  <c r="G61" i="6"/>
  <c r="G62" i="6"/>
  <c r="G63" i="6"/>
  <c r="G64" i="6"/>
  <c r="G65" i="6"/>
  <c r="G66" i="6"/>
  <c r="G67" i="6"/>
  <c r="G68" i="6"/>
  <c r="F59" i="6"/>
  <c r="F60" i="6"/>
  <c r="F61" i="6"/>
  <c r="F62" i="6"/>
  <c r="F63" i="6"/>
  <c r="F64" i="6"/>
  <c r="F65" i="6"/>
  <c r="F66" i="6"/>
  <c r="F67" i="6"/>
  <c r="F68" i="6"/>
  <c r="F58" i="6"/>
  <c r="G58" i="6" s="1"/>
  <c r="H174" i="1"/>
  <c r="I174" i="1" s="1"/>
  <c r="H173" i="1"/>
  <c r="I173" i="1" s="1"/>
  <c r="H175" i="1"/>
  <c r="I175" i="1" s="1"/>
  <c r="H176" i="1"/>
  <c r="I176" i="1" s="1"/>
  <c r="H177" i="1"/>
  <c r="I177" i="1" s="1"/>
  <c r="H178" i="1"/>
  <c r="I178" i="1" s="1"/>
  <c r="H179" i="1"/>
  <c r="I179" i="1" s="1"/>
  <c r="H171" i="1"/>
  <c r="I171" i="1" s="1"/>
  <c r="H172" i="1"/>
  <c r="I172" i="1" s="1"/>
  <c r="H170" i="1"/>
  <c r="I170" i="1"/>
  <c r="H169" i="1" l="1"/>
  <c r="I169" i="1" s="1"/>
  <c r="H168" i="1"/>
  <c r="I168" i="1" s="1"/>
  <c r="H167" i="1"/>
  <c r="I167" i="1" s="1"/>
  <c r="H166" i="1"/>
  <c r="I166" i="1" s="1"/>
  <c r="H165" i="1"/>
  <c r="I165" i="1" s="1"/>
  <c r="H164" i="1"/>
  <c r="I164" i="1" s="1"/>
  <c r="H163" i="1" l="1"/>
  <c r="I163" i="1" s="1"/>
  <c r="H162" i="1"/>
  <c r="I162" i="1" s="1"/>
  <c r="H161" i="1"/>
  <c r="I161" i="1" s="1"/>
  <c r="H160" i="1"/>
  <c r="I160" i="1" s="1"/>
  <c r="H159" i="1"/>
  <c r="I159" i="1" s="1"/>
  <c r="H158" i="1"/>
  <c r="I158" i="1" s="1"/>
  <c r="H157" i="1"/>
  <c r="I157" i="1" s="1"/>
  <c r="H156" i="1"/>
  <c r="I156" i="1" s="1"/>
  <c r="H155" i="1"/>
  <c r="I155" i="1" s="1"/>
  <c r="H154" i="1"/>
  <c r="I154" i="1" s="1"/>
  <c r="H153" i="1"/>
  <c r="I153" i="1" s="1"/>
  <c r="H152" i="1"/>
  <c r="I152" i="1" s="1"/>
  <c r="H151" i="1"/>
  <c r="I151" i="1" s="1"/>
  <c r="H150" i="1"/>
  <c r="I150" i="1" s="1"/>
  <c r="H149" i="1" l="1"/>
  <c r="I149" i="1" s="1"/>
  <c r="H148" i="1"/>
  <c r="I148" i="1" s="1"/>
  <c r="H147" i="1"/>
  <c r="I147" i="1" s="1"/>
  <c r="H146" i="1"/>
  <c r="I146" i="1" s="1"/>
  <c r="H145" i="1"/>
  <c r="I145" i="1" s="1"/>
  <c r="H144" i="1"/>
  <c r="I144" i="1" s="1"/>
  <c r="H143" i="1"/>
  <c r="I143" i="1" s="1"/>
  <c r="H142" i="1"/>
  <c r="I142" i="1" s="1"/>
  <c r="H141" i="1"/>
  <c r="I141" i="1" s="1"/>
  <c r="H140" i="1"/>
  <c r="I140" i="1" s="1"/>
  <c r="H139" i="1" l="1"/>
  <c r="I139" i="1" s="1"/>
  <c r="H138" i="1"/>
  <c r="I138" i="1" s="1"/>
  <c r="H137" i="1"/>
  <c r="I137" i="1" s="1"/>
  <c r="H136" i="1"/>
  <c r="I136" i="1" s="1"/>
  <c r="H135" i="1"/>
  <c r="I135" i="1"/>
  <c r="H134" i="1"/>
  <c r="I134" i="1" s="1"/>
  <c r="H133" i="1"/>
  <c r="I133" i="1" s="1"/>
  <c r="H132" i="1"/>
  <c r="I132" i="1"/>
  <c r="H131" i="1"/>
  <c r="I131" i="1" s="1"/>
  <c r="H130" i="1"/>
  <c r="I130" i="1" s="1"/>
  <c r="F32" i="6"/>
  <c r="G32" i="6"/>
  <c r="F33" i="6"/>
  <c r="G33" i="6"/>
  <c r="F34" i="6"/>
  <c r="G34" i="6"/>
  <c r="F35" i="6"/>
  <c r="G35" i="6"/>
  <c r="F36" i="6"/>
  <c r="G36" i="6"/>
  <c r="F37" i="6"/>
  <c r="G37" i="6"/>
  <c r="F38" i="6"/>
  <c r="G38" i="6"/>
  <c r="F39" i="6"/>
  <c r="G39" i="6"/>
  <c r="F40" i="6"/>
  <c r="G40" i="6"/>
  <c r="F41" i="6"/>
  <c r="G41" i="6"/>
  <c r="F42" i="6"/>
  <c r="G42" i="6"/>
  <c r="F43" i="6"/>
  <c r="G43" i="6"/>
  <c r="F44" i="6"/>
  <c r="G44" i="6"/>
  <c r="F45" i="6"/>
  <c r="G45" i="6"/>
  <c r="F46" i="6"/>
  <c r="G46" i="6"/>
  <c r="F47" i="6"/>
  <c r="G47" i="6"/>
  <c r="F48" i="6"/>
  <c r="G48" i="6"/>
  <c r="F49" i="6"/>
  <c r="G49" i="6"/>
  <c r="F50" i="6"/>
  <c r="G50" i="6"/>
  <c r="F51" i="6"/>
  <c r="G51" i="6"/>
  <c r="F52" i="6"/>
  <c r="G52" i="6"/>
  <c r="F53" i="6"/>
  <c r="G53" i="6"/>
  <c r="F54" i="6"/>
  <c r="G54" i="6"/>
  <c r="F55" i="6"/>
  <c r="G55" i="6" s="1"/>
  <c r="F56" i="6"/>
  <c r="G56" i="6" s="1"/>
  <c r="F57" i="6"/>
  <c r="G57" i="6" s="1"/>
  <c r="H129" i="1"/>
  <c r="I129" i="1" s="1"/>
  <c r="H128" i="1"/>
  <c r="I128" i="1" s="1"/>
  <c r="H127" i="1"/>
  <c r="I127" i="1" s="1"/>
  <c r="H126" i="1"/>
  <c r="I126" i="1" s="1"/>
  <c r="H125" i="1"/>
  <c r="I125" i="1" s="1"/>
  <c r="H124" i="1"/>
  <c r="I124" i="1" s="1"/>
  <c r="H123" i="1"/>
  <c r="I123" i="1" s="1"/>
  <c r="H122" i="1"/>
  <c r="I122" i="1" s="1"/>
  <c r="H121" i="1"/>
  <c r="I121" i="1" s="1"/>
  <c r="H120" i="1" l="1"/>
  <c r="I120" i="1" s="1"/>
  <c r="H119" i="1"/>
  <c r="I119" i="1" s="1"/>
  <c r="H118" i="1"/>
  <c r="I118" i="1"/>
  <c r="H117" i="1"/>
  <c r="I117" i="1" s="1"/>
  <c r="H116" i="1"/>
  <c r="I116" i="1" s="1"/>
  <c r="H115" i="1"/>
  <c r="I115" i="1" s="1"/>
  <c r="F21" i="6"/>
  <c r="G21" i="6" s="1"/>
  <c r="F22" i="6"/>
  <c r="G22" i="6" s="1"/>
  <c r="F23" i="6"/>
  <c r="G23" i="6" s="1"/>
  <c r="F24" i="6"/>
  <c r="G24" i="6"/>
  <c r="F25" i="6"/>
  <c r="G25" i="6" s="1"/>
  <c r="F26" i="6"/>
  <c r="G26" i="6"/>
  <c r="F27" i="6"/>
  <c r="G27" i="6" s="1"/>
  <c r="F28" i="6"/>
  <c r="G28" i="6"/>
  <c r="F29" i="6"/>
  <c r="G29" i="6"/>
  <c r="F30" i="6"/>
  <c r="G30" i="6" s="1"/>
  <c r="F31" i="6"/>
  <c r="G31" i="6" s="1"/>
  <c r="F20" i="6"/>
  <c r="G20" i="6"/>
  <c r="F5" i="6"/>
  <c r="F6" i="6"/>
  <c r="F7" i="6"/>
  <c r="F8" i="6"/>
  <c r="F9" i="6"/>
  <c r="G9" i="6" s="1"/>
  <c r="F10" i="6"/>
  <c r="G10" i="6" s="1"/>
  <c r="F11" i="6"/>
  <c r="G11" i="6" s="1"/>
  <c r="F12" i="6"/>
  <c r="G12" i="6" s="1"/>
  <c r="F13" i="6"/>
  <c r="G13" i="6" s="1"/>
  <c r="F14" i="6"/>
  <c r="G14" i="6" s="1"/>
  <c r="F15" i="6"/>
  <c r="G15" i="6" s="1"/>
  <c r="F16" i="6"/>
  <c r="G16" i="6" s="1"/>
  <c r="F17" i="6"/>
  <c r="G17" i="6" s="1"/>
  <c r="F18" i="6"/>
  <c r="G18" i="6" s="1"/>
  <c r="F19" i="6"/>
  <c r="G19" i="6" s="1"/>
  <c r="H114" i="1"/>
  <c r="I114" i="1" s="1"/>
  <c r="F6" i="9" l="1"/>
  <c r="G6" i="9" s="1"/>
  <c r="F7" i="9"/>
  <c r="G7" i="9"/>
  <c r="F8" i="9"/>
  <c r="G8" i="9" s="1"/>
  <c r="F9" i="9"/>
  <c r="G9" i="9" s="1"/>
  <c r="F10" i="9"/>
  <c r="G10" i="9" s="1"/>
  <c r="F11" i="9"/>
  <c r="G11" i="9" s="1"/>
  <c r="F12" i="9"/>
  <c r="G12" i="9" s="1"/>
  <c r="F13" i="9"/>
  <c r="G13" i="9"/>
  <c r="F16" i="9"/>
  <c r="G16" i="9" s="1"/>
  <c r="F15" i="9"/>
  <c r="G15" i="9" s="1"/>
  <c r="F5" i="9"/>
  <c r="G5" i="9"/>
  <c r="H113" i="1"/>
  <c r="I113" i="1" s="1"/>
  <c r="H112" i="1"/>
  <c r="I112" i="1" s="1"/>
  <c r="H111" i="1" l="1"/>
  <c r="I111" i="1" s="1"/>
  <c r="H110" i="1"/>
  <c r="I110" i="1" s="1"/>
  <c r="H109" i="1"/>
  <c r="I109" i="1" s="1"/>
  <c r="H108" i="1" l="1"/>
  <c r="I108" i="1" s="1"/>
  <c r="H107" i="1"/>
  <c r="I107" i="1" s="1"/>
  <c r="H106" i="1"/>
  <c r="I106" i="1" s="1"/>
  <c r="H105" i="1"/>
  <c r="I105" i="1" s="1"/>
  <c r="H104" i="1"/>
  <c r="I104" i="1"/>
  <c r="H103" i="1"/>
  <c r="I103" i="1" s="1"/>
  <c r="H102" i="1"/>
  <c r="I102" i="1" s="1"/>
  <c r="H101" i="1"/>
  <c r="I101" i="1" s="1"/>
  <c r="H100" i="1"/>
  <c r="I100" i="1"/>
  <c r="H99" i="1"/>
  <c r="I99" i="1" s="1"/>
  <c r="H98" i="1"/>
  <c r="I98" i="1" s="1"/>
  <c r="H97" i="1"/>
  <c r="I97" i="1" s="1"/>
  <c r="H96" i="1"/>
  <c r="I96" i="1" s="1"/>
  <c r="H95" i="1"/>
  <c r="I95" i="1" s="1"/>
  <c r="H94" i="1"/>
  <c r="I94" i="1" s="1"/>
  <c r="H93" i="1"/>
  <c r="I93" i="1" s="1"/>
  <c r="H92" i="1"/>
  <c r="I92" i="1" s="1"/>
  <c r="H91" i="1"/>
  <c r="I91" i="1"/>
  <c r="H90" i="1"/>
  <c r="I90" i="1" s="1"/>
  <c r="H89" i="1"/>
  <c r="I89" i="1" s="1"/>
  <c r="H88" i="1"/>
  <c r="I88" i="1" s="1"/>
  <c r="H87" i="1"/>
  <c r="I87" i="1" s="1"/>
  <c r="H86" i="1"/>
  <c r="I86" i="1" s="1"/>
  <c r="H85" i="1"/>
  <c r="I85" i="1" s="1"/>
  <c r="H84" i="1"/>
  <c r="I84" i="1" s="1"/>
  <c r="I83" i="1"/>
  <c r="H82" i="1"/>
  <c r="I82" i="1"/>
  <c r="H81" i="1"/>
  <c r="I81" i="1" s="1"/>
  <c r="H80" i="1"/>
  <c r="I80" i="1" s="1"/>
  <c r="H79" i="1"/>
  <c r="I79" i="1" s="1"/>
  <c r="H78" i="1"/>
  <c r="I78" i="1" s="1"/>
  <c r="F4" i="9" l="1"/>
  <c r="G4" i="9" s="1"/>
  <c r="F3" i="9"/>
  <c r="G3" i="9"/>
  <c r="H77" i="1" l="1"/>
  <c r="I77" i="1" s="1"/>
  <c r="H76" i="1"/>
  <c r="I76" i="1" s="1"/>
  <c r="H75" i="1"/>
  <c r="I75" i="1" s="1"/>
  <c r="H74" i="1"/>
  <c r="I74" i="1" s="1"/>
  <c r="H73" i="1"/>
  <c r="I73" i="1" s="1"/>
  <c r="H72" i="1"/>
  <c r="I72" i="1" s="1"/>
  <c r="H71" i="1"/>
  <c r="I71" i="1"/>
  <c r="H70" i="1"/>
  <c r="I70" i="1" s="1"/>
  <c r="H69" i="1"/>
  <c r="I69" i="1" s="1"/>
  <c r="H68" i="1"/>
  <c r="I68" i="1" s="1"/>
  <c r="H67" i="1"/>
  <c r="I67" i="1" s="1"/>
  <c r="H66" i="1"/>
  <c r="I66" i="1" s="1"/>
  <c r="H65" i="1"/>
  <c r="I65" i="1"/>
  <c r="H64" i="1"/>
  <c r="I64" i="1"/>
  <c r="H63" i="1"/>
  <c r="I63" i="1"/>
  <c r="H62" i="1" l="1"/>
  <c r="I62" i="1" s="1"/>
  <c r="H61" i="1"/>
  <c r="I61" i="1" s="1"/>
  <c r="H60" i="1"/>
  <c r="I60" i="1" s="1"/>
  <c r="H59" i="1"/>
  <c r="I59" i="1" s="1"/>
  <c r="H58" i="1"/>
  <c r="I58" i="1" s="1"/>
  <c r="H57" i="1"/>
  <c r="I57" i="1" s="1"/>
  <c r="H56" i="1"/>
  <c r="I56" i="1"/>
  <c r="H55" i="1"/>
  <c r="I55" i="1"/>
  <c r="H54" i="1"/>
  <c r="I54" i="1" s="1"/>
  <c r="H53" i="1"/>
  <c r="I53" i="1" s="1"/>
  <c r="H52" i="1"/>
  <c r="I52" i="1" s="1"/>
  <c r="H51" i="1"/>
  <c r="I51" i="1" s="1"/>
  <c r="H50" i="1"/>
  <c r="I50" i="1" s="1"/>
  <c r="H49" i="1"/>
  <c r="I49" i="1" s="1"/>
  <c r="H48" i="1"/>
  <c r="I48" i="1" s="1"/>
  <c r="F4" i="6"/>
  <c r="F3" i="6"/>
  <c r="H47" i="1"/>
  <c r="I47" i="1" s="1"/>
  <c r="H46" i="1"/>
  <c r="I46" i="1" s="1"/>
  <c r="H45" i="1" l="1"/>
  <c r="I45" i="1" s="1"/>
  <c r="H44" i="1"/>
  <c r="I44" i="1" s="1"/>
  <c r="H43" i="1"/>
  <c r="I43" i="1" s="1"/>
  <c r="H42" i="1"/>
  <c r="I42" i="1" s="1"/>
  <c r="H41" i="1"/>
  <c r="I41" i="1" s="1"/>
  <c r="H40" i="1"/>
  <c r="I40" i="1" s="1"/>
  <c r="H39" i="1"/>
  <c r="I39" i="1" s="1"/>
  <c r="H38" i="1"/>
  <c r="I38" i="1" s="1"/>
  <c r="H37" i="1"/>
  <c r="I37" i="1"/>
  <c r="H36" i="1"/>
  <c r="I36" i="1" s="1"/>
  <c r="H35" i="1"/>
  <c r="I35" i="1" s="1"/>
  <c r="H34" i="1"/>
  <c r="I34" i="1" s="1"/>
  <c r="H33" i="1"/>
  <c r="I33" i="1" s="1"/>
  <c r="H32" i="1"/>
  <c r="I32" i="1" s="1"/>
  <c r="H31" i="1"/>
  <c r="I31" i="1" s="1"/>
  <c r="H30" i="1" l="1"/>
  <c r="I30" i="1" s="1"/>
  <c r="H29" i="1"/>
  <c r="I29" i="1" s="1"/>
  <c r="H28" i="1"/>
  <c r="I28" i="1" s="1"/>
  <c r="H27" i="1"/>
  <c r="I27" i="1" s="1"/>
  <c r="H26" i="1" l="1"/>
  <c r="I26" i="1" s="1"/>
  <c r="H25" i="1"/>
  <c r="I25" i="1" s="1"/>
  <c r="H24" i="1"/>
  <c r="I24" i="1" s="1"/>
  <c r="H23" i="1"/>
  <c r="I23" i="1" s="1"/>
  <c r="H22" i="1"/>
  <c r="I22" i="1" s="1"/>
  <c r="H21" i="1"/>
  <c r="I21" i="1" s="1"/>
  <c r="H20" i="1"/>
  <c r="I20" i="1" s="1"/>
  <c r="H19" i="1"/>
  <c r="I19" i="1" s="1"/>
  <c r="H18" i="1"/>
  <c r="I18" i="1" s="1"/>
  <c r="H17" i="1"/>
  <c r="I17" i="1" s="1"/>
  <c r="H16" i="1"/>
  <c r="I16" i="1" s="1"/>
  <c r="H15" i="1"/>
  <c r="I15" i="1" s="1"/>
  <c r="H14" i="1"/>
  <c r="I14" i="1" s="1"/>
  <c r="H13" i="1" l="1"/>
  <c r="I13" i="1" s="1"/>
  <c r="H12" i="1"/>
  <c r="I12" i="1" s="1"/>
  <c r="H11" i="1"/>
  <c r="I11" i="1" s="1"/>
  <c r="H10" i="1"/>
  <c r="I10" i="1" s="1"/>
  <c r="H9" i="1"/>
  <c r="I9" i="1" s="1"/>
  <c r="H8" i="1"/>
  <c r="I8" i="1" s="1"/>
  <c r="H7" i="1"/>
  <c r="I7" i="1" s="1"/>
  <c r="H6" i="1" l="1"/>
  <c r="I6" i="1" s="1"/>
  <c r="H5" i="1"/>
  <c r="I5" i="1" s="1"/>
  <c r="H4" i="1"/>
  <c r="I4" i="1" s="1"/>
  <c r="H3" i="1"/>
  <c r="I3" i="1" s="1"/>
  <c r="G3" i="6" l="1"/>
  <c r="G4" i="6"/>
  <c r="G5" i="6"/>
  <c r="G6" i="6"/>
  <c r="G7" i="6"/>
  <c r="G8" i="6"/>
  <c r="G3" i="3" l="1"/>
  <c r="H3" i="3" s="1"/>
  <c r="G4" i="3"/>
  <c r="H4" i="3" s="1"/>
  <c r="G5" i="3"/>
  <c r="H5" i="3" s="1"/>
  <c r="G6" i="3"/>
  <c r="H6" i="3" s="1"/>
  <c r="G7" i="3"/>
  <c r="H7" i="3" s="1"/>
  <c r="G8" i="3"/>
  <c r="H8" i="3" s="1"/>
  <c r="G9" i="3"/>
  <c r="H9" i="3" s="1"/>
  <c r="G10" i="3"/>
  <c r="H10" i="3" s="1"/>
  <c r="G11" i="3"/>
  <c r="H11" i="3" s="1"/>
  <c r="G12" i="3"/>
  <c r="H12" i="3" s="1"/>
  <c r="G13" i="3"/>
  <c r="H13" i="3" s="1"/>
  <c r="G14" i="3"/>
  <c r="H14" i="3" s="1"/>
  <c r="G15" i="3"/>
  <c r="H15" i="3" s="1"/>
  <c r="G16" i="3"/>
  <c r="H16" i="3" s="1"/>
  <c r="G17" i="3"/>
  <c r="H17" i="3" s="1"/>
  <c r="G18" i="3"/>
  <c r="H18" i="3" s="1"/>
  <c r="G19" i="3"/>
  <c r="H19" i="3" s="1"/>
  <c r="G20" i="3"/>
  <c r="H20" i="3" s="1"/>
  <c r="G21" i="3"/>
  <c r="H21" i="3" s="1"/>
  <c r="G22" i="3"/>
  <c r="H22" i="3" s="1"/>
  <c r="G23" i="3"/>
  <c r="H23" i="3" s="1"/>
  <c r="G24" i="3"/>
  <c r="H24" i="3" s="1"/>
  <c r="G25" i="3"/>
  <c r="H25" i="3" s="1"/>
  <c r="G26" i="3"/>
  <c r="H26" i="3" s="1"/>
  <c r="G27" i="3"/>
  <c r="H27" i="3" s="1"/>
  <c r="G28" i="3"/>
  <c r="H28" i="3" s="1"/>
  <c r="G29" i="3"/>
  <c r="H29" i="3" s="1"/>
  <c r="G30" i="3"/>
  <c r="H30" i="3" s="1"/>
  <c r="G31" i="3"/>
  <c r="H31" i="3" s="1"/>
  <c r="G32" i="3"/>
  <c r="H32" i="3" s="1"/>
  <c r="G33" i="3"/>
  <c r="H33" i="3" s="1"/>
  <c r="G34" i="3"/>
  <c r="H34" i="3" s="1"/>
  <c r="G35" i="3"/>
  <c r="H35" i="3" s="1"/>
  <c r="G36" i="3"/>
  <c r="H36" i="3" s="1"/>
  <c r="G37" i="3"/>
  <c r="H37" i="3" s="1"/>
  <c r="G38" i="3"/>
  <c r="H38" i="3" s="1"/>
  <c r="G39" i="3"/>
  <c r="H39" i="3" s="1"/>
  <c r="G40" i="3"/>
  <c r="H40" i="3" s="1"/>
  <c r="G41" i="3"/>
  <c r="H41" i="3" s="1"/>
  <c r="G42" i="3"/>
  <c r="H42" i="3" s="1"/>
  <c r="G43" i="3"/>
  <c r="H43" i="3" s="1"/>
  <c r="G44" i="3"/>
  <c r="H44" i="3" s="1"/>
  <c r="G45" i="3"/>
  <c r="G46" i="3"/>
  <c r="H46" i="3" s="1"/>
  <c r="G47" i="3"/>
  <c r="H47" i="3" s="1"/>
  <c r="G48" i="3"/>
  <c r="H48" i="3" s="1"/>
  <c r="G49" i="3"/>
  <c r="H49" i="3" s="1"/>
  <c r="G50" i="3"/>
  <c r="H50" i="3" s="1"/>
  <c r="G51" i="3"/>
  <c r="H51" i="3" s="1"/>
  <c r="G52" i="3"/>
  <c r="H52" i="3" s="1"/>
  <c r="G53" i="3"/>
  <c r="H53" i="3" s="1"/>
  <c r="G54" i="3"/>
  <c r="H54" i="3" s="1"/>
  <c r="G55" i="3"/>
  <c r="H55" i="3" s="1"/>
  <c r="G56" i="3"/>
  <c r="H56" i="3" s="1"/>
  <c r="G57" i="3"/>
  <c r="H57" i="3" s="1"/>
  <c r="G58" i="3"/>
  <c r="H58" i="3" s="1"/>
  <c r="G59" i="3"/>
  <c r="H59" i="3" s="1"/>
  <c r="G60" i="3"/>
  <c r="H60" i="3" s="1"/>
  <c r="G61" i="3"/>
  <c r="H61" i="3" s="1"/>
  <c r="G62" i="3"/>
  <c r="H62" i="3" s="1"/>
  <c r="G63" i="3"/>
  <c r="H63" i="3" s="1"/>
  <c r="G64" i="3"/>
  <c r="H64" i="3" s="1"/>
  <c r="G65" i="3"/>
  <c r="H65" i="3" s="1"/>
  <c r="G66" i="3"/>
  <c r="H66" i="3" s="1"/>
  <c r="G67" i="3"/>
  <c r="H67" i="3" s="1"/>
  <c r="G68" i="3"/>
  <c r="H68" i="3" s="1"/>
  <c r="G69" i="3"/>
  <c r="H69" i="3" s="1"/>
  <c r="G70" i="3"/>
  <c r="H70" i="3" s="1"/>
  <c r="G71" i="3"/>
  <c r="H71" i="3" s="1"/>
  <c r="G72" i="3"/>
  <c r="H72" i="3" s="1"/>
  <c r="G73" i="3"/>
  <c r="H73" i="3" s="1"/>
  <c r="G74" i="3"/>
  <c r="H74" i="3" s="1"/>
  <c r="G75" i="3"/>
  <c r="H75" i="3" s="1"/>
  <c r="G76" i="3"/>
  <c r="H76" i="3" s="1"/>
  <c r="G77" i="3"/>
  <c r="H77" i="3" s="1"/>
  <c r="G78" i="3"/>
  <c r="H78" i="3" s="1"/>
  <c r="G79" i="3"/>
  <c r="H79" i="3" s="1"/>
  <c r="G80" i="3"/>
  <c r="H80" i="3" s="1"/>
  <c r="G81" i="3"/>
  <c r="H81" i="3" s="1"/>
  <c r="G82" i="3"/>
  <c r="H82" i="3" s="1"/>
  <c r="G83" i="3"/>
  <c r="H83" i="3" s="1"/>
  <c r="G84" i="3"/>
  <c r="H84" i="3" s="1"/>
  <c r="G85" i="3"/>
  <c r="H85" i="3" s="1"/>
  <c r="G86" i="3"/>
  <c r="H86" i="3" s="1"/>
  <c r="G87" i="3"/>
  <c r="H87" i="3" s="1"/>
  <c r="G88" i="3"/>
  <c r="H88" i="3" s="1"/>
  <c r="G89" i="3"/>
  <c r="H89" i="3" s="1"/>
  <c r="G90" i="3"/>
  <c r="H90" i="3" s="1"/>
  <c r="G91" i="3"/>
  <c r="H91" i="3" s="1"/>
  <c r="G92" i="3"/>
  <c r="H92" i="3" s="1"/>
  <c r="G93" i="3"/>
  <c r="H93" i="3" s="1"/>
  <c r="G94" i="3"/>
  <c r="H94" i="3" s="1"/>
  <c r="G95" i="3"/>
  <c r="H95" i="3" s="1"/>
  <c r="G96" i="3"/>
  <c r="H96" i="3" s="1"/>
  <c r="G97" i="3"/>
  <c r="H97" i="3" s="1"/>
  <c r="G98" i="3"/>
  <c r="H98" i="3" s="1"/>
  <c r="G99" i="3"/>
  <c r="H99" i="3" s="1"/>
  <c r="G100" i="3"/>
  <c r="H100" i="3" s="1"/>
  <c r="G101" i="3"/>
  <c r="H101" i="3" s="1"/>
  <c r="G102" i="3"/>
  <c r="H102" i="3" s="1"/>
  <c r="G103" i="3"/>
  <c r="H103" i="3" s="1"/>
  <c r="G104" i="3"/>
  <c r="H104" i="3" s="1"/>
  <c r="G105" i="3"/>
  <c r="H105" i="3" s="1"/>
  <c r="G106" i="3"/>
  <c r="H106" i="3" s="1"/>
  <c r="G107" i="3"/>
  <c r="H107" i="3" s="1"/>
  <c r="G108" i="3"/>
  <c r="H108" i="3" s="1"/>
  <c r="G109" i="3"/>
  <c r="H109" i="3" s="1"/>
  <c r="G110" i="3"/>
  <c r="H110" i="3" s="1"/>
  <c r="G111" i="3"/>
  <c r="H111" i="3" s="1"/>
  <c r="G112" i="3"/>
  <c r="H112" i="3" s="1"/>
  <c r="G113" i="3"/>
  <c r="H113" i="3" s="1"/>
  <c r="G114" i="3"/>
  <c r="H114" i="3" s="1"/>
  <c r="G115" i="3"/>
  <c r="H115" i="3" s="1"/>
  <c r="G116" i="3"/>
  <c r="H116" i="3" s="1"/>
  <c r="G117" i="3"/>
  <c r="H117" i="3" s="1"/>
  <c r="G118" i="3"/>
  <c r="H118" i="3" s="1"/>
  <c r="G119" i="3"/>
  <c r="H119" i="3" s="1"/>
  <c r="G120" i="3"/>
  <c r="H120" i="3" s="1"/>
  <c r="G121" i="3"/>
  <c r="H121" i="3" s="1"/>
  <c r="G122" i="3"/>
  <c r="H122" i="3" s="1"/>
  <c r="G123" i="3"/>
  <c r="H123" i="3" s="1"/>
  <c r="G124" i="3"/>
  <c r="H124" i="3" s="1"/>
  <c r="G125" i="3"/>
  <c r="H125" i="3" s="1"/>
  <c r="G126" i="3"/>
  <c r="H126" i="3" s="1"/>
  <c r="G127" i="3"/>
  <c r="H127" i="3" s="1"/>
  <c r="G128" i="3"/>
  <c r="H128" i="3" s="1"/>
  <c r="G129" i="3"/>
  <c r="H129" i="3" s="1"/>
  <c r="G130" i="3"/>
  <c r="H130" i="3" s="1"/>
  <c r="G131" i="3"/>
  <c r="H131" i="3" s="1"/>
  <c r="G132" i="3"/>
  <c r="H132" i="3" s="1"/>
  <c r="G133" i="3"/>
  <c r="H133" i="3" s="1"/>
  <c r="G134" i="3"/>
  <c r="H134" i="3" s="1"/>
  <c r="G135" i="3"/>
  <c r="H135" i="3" s="1"/>
  <c r="G136" i="3"/>
  <c r="H136" i="3" s="1"/>
  <c r="G137" i="3"/>
  <c r="H137" i="3" s="1"/>
  <c r="G138" i="3"/>
  <c r="H138" i="3" s="1"/>
  <c r="G139" i="3"/>
  <c r="H139" i="3" s="1"/>
  <c r="G140" i="3"/>
  <c r="H140" i="3" s="1"/>
  <c r="G141" i="3"/>
  <c r="H141" i="3" s="1"/>
  <c r="G142" i="3"/>
  <c r="H142" i="3" s="1"/>
  <c r="G143" i="3"/>
  <c r="H143" i="3" s="1"/>
  <c r="G144" i="3"/>
  <c r="H144" i="3" s="1"/>
  <c r="G145" i="3"/>
  <c r="H145" i="3" s="1"/>
  <c r="G146" i="3"/>
  <c r="H146" i="3" s="1"/>
  <c r="G147" i="3"/>
  <c r="H147" i="3" s="1"/>
  <c r="G148" i="3"/>
  <c r="H148" i="3" s="1"/>
  <c r="G149" i="3"/>
  <c r="H149" i="3" s="1"/>
  <c r="G150" i="3"/>
  <c r="H150" i="3" s="1"/>
  <c r="G151" i="3"/>
  <c r="H151" i="3" s="1"/>
  <c r="G152" i="3"/>
  <c r="H152" i="3" s="1"/>
  <c r="G153" i="3"/>
  <c r="H153" i="3" s="1"/>
  <c r="G154" i="3"/>
  <c r="H154" i="3" s="1"/>
  <c r="G155" i="3"/>
  <c r="H155" i="3" s="1"/>
  <c r="G156" i="3"/>
  <c r="H156" i="3" s="1"/>
  <c r="G157" i="3"/>
  <c r="H157" i="3" s="1"/>
  <c r="G158" i="3"/>
  <c r="H158" i="3" s="1"/>
  <c r="G159" i="3"/>
  <c r="H159" i="3" s="1"/>
  <c r="G160" i="3"/>
  <c r="H160" i="3" s="1"/>
  <c r="G161" i="3"/>
  <c r="H161" i="3" s="1"/>
  <c r="G162" i="3"/>
  <c r="H162" i="3" s="1"/>
  <c r="G163" i="3"/>
  <c r="H163" i="3" s="1"/>
  <c r="G164" i="3"/>
  <c r="H164" i="3" s="1"/>
  <c r="G165" i="3"/>
  <c r="H165" i="3" s="1"/>
  <c r="G166" i="3"/>
  <c r="H166" i="3" s="1"/>
  <c r="G167" i="3"/>
  <c r="H167" i="3" s="1"/>
  <c r="G168" i="3"/>
  <c r="H168" i="3" s="1"/>
  <c r="G169" i="3"/>
  <c r="H169" i="3" s="1"/>
  <c r="G170" i="3"/>
  <c r="H170" i="3" s="1"/>
  <c r="G171" i="3"/>
  <c r="H171" i="3" s="1"/>
  <c r="G172" i="3"/>
  <c r="H172" i="3" s="1"/>
  <c r="G173" i="3"/>
  <c r="H173" i="3" s="1"/>
  <c r="G174" i="3"/>
  <c r="H174" i="3" s="1"/>
  <c r="G175" i="3"/>
  <c r="H175" i="3" s="1"/>
  <c r="G176" i="3"/>
  <c r="H176" i="3" s="1"/>
  <c r="G177" i="3"/>
  <c r="H177" i="3" s="1"/>
  <c r="G178" i="3"/>
  <c r="H178" i="3" s="1"/>
  <c r="G179" i="3"/>
  <c r="H179" i="3" s="1"/>
  <c r="G180" i="3"/>
  <c r="H180" i="3" s="1"/>
  <c r="G181" i="3"/>
  <c r="H181" i="3" s="1"/>
  <c r="G182" i="3"/>
  <c r="H182" i="3" s="1"/>
  <c r="G183" i="3"/>
  <c r="H183" i="3" s="1"/>
  <c r="G184" i="3"/>
  <c r="H184" i="3" s="1"/>
  <c r="G185" i="3"/>
  <c r="H185" i="3" s="1"/>
  <c r="G186" i="3"/>
  <c r="H186" i="3" s="1"/>
  <c r="G187" i="3"/>
  <c r="H187" i="3" s="1"/>
  <c r="G188" i="3"/>
  <c r="H188" i="3" s="1"/>
  <c r="G189" i="3"/>
  <c r="H189" i="3" s="1"/>
  <c r="G190" i="3"/>
  <c r="H190" i="3" s="1"/>
  <c r="G191" i="3"/>
  <c r="H191" i="3" s="1"/>
  <c r="G192" i="3"/>
  <c r="H192" i="3" s="1"/>
  <c r="G193" i="3"/>
  <c r="H193" i="3" s="1"/>
  <c r="G194" i="3"/>
  <c r="H194" i="3" s="1"/>
  <c r="G195" i="3"/>
  <c r="H195" i="3" s="1"/>
  <c r="G196" i="3"/>
  <c r="H196" i="3" s="1"/>
  <c r="G197" i="3"/>
  <c r="H197" i="3" s="1"/>
  <c r="G198" i="3"/>
  <c r="H198" i="3" s="1"/>
  <c r="G199" i="3"/>
  <c r="H199" i="3" s="1"/>
  <c r="G200" i="3"/>
  <c r="H200" i="3" s="1"/>
  <c r="G201" i="3"/>
  <c r="H201" i="3" s="1"/>
  <c r="G202" i="3"/>
  <c r="H202" i="3" s="1"/>
  <c r="G203" i="3"/>
  <c r="H203" i="3" s="1"/>
  <c r="G204" i="3"/>
  <c r="H204" i="3" s="1"/>
  <c r="G205" i="3"/>
  <c r="H205" i="3" s="1"/>
  <c r="G206" i="3"/>
  <c r="H206" i="3" s="1"/>
  <c r="G207" i="3"/>
  <c r="H207" i="3" s="1"/>
  <c r="G208" i="3"/>
  <c r="H208" i="3" s="1"/>
  <c r="G209" i="3"/>
  <c r="H209" i="3" s="1"/>
  <c r="G210" i="3"/>
  <c r="H210" i="3" s="1"/>
  <c r="G211" i="3"/>
  <c r="H211" i="3" s="1"/>
  <c r="G212" i="3"/>
  <c r="H212" i="3" s="1"/>
  <c r="G213" i="3"/>
  <c r="H213" i="3" s="1"/>
  <c r="G214" i="3"/>
  <c r="H214" i="3" s="1"/>
  <c r="G215" i="3"/>
  <c r="H215" i="3" s="1"/>
  <c r="G216" i="3"/>
  <c r="H216" i="3" s="1"/>
  <c r="G217" i="3"/>
  <c r="H217" i="3" s="1"/>
  <c r="G218" i="3"/>
  <c r="H218" i="3" s="1"/>
  <c r="G219" i="3"/>
  <c r="H219" i="3" s="1"/>
  <c r="G220" i="3"/>
  <c r="H220" i="3" s="1"/>
  <c r="G221" i="3"/>
  <c r="H221" i="3" s="1"/>
  <c r="G222" i="3"/>
  <c r="H222" i="3" s="1"/>
  <c r="G223" i="3"/>
  <c r="H223" i="3" s="1"/>
  <c r="G224" i="3"/>
  <c r="H224" i="3" s="1"/>
  <c r="G225" i="3"/>
  <c r="H225" i="3" s="1"/>
  <c r="G226" i="3"/>
  <c r="H226" i="3" s="1"/>
  <c r="G227" i="3"/>
  <c r="H227" i="3" s="1"/>
  <c r="G228" i="3"/>
  <c r="H228" i="3" s="1"/>
  <c r="G229" i="3"/>
  <c r="H229" i="3" s="1"/>
  <c r="G230" i="3"/>
  <c r="H230" i="3" s="1"/>
  <c r="G231" i="3"/>
  <c r="H231" i="3" s="1"/>
  <c r="G232" i="3"/>
  <c r="H232" i="3" s="1"/>
  <c r="G233" i="3"/>
  <c r="H233" i="3" s="1"/>
  <c r="G234" i="3"/>
  <c r="H234" i="3" s="1"/>
  <c r="G235" i="3"/>
  <c r="H235" i="3" s="1"/>
  <c r="G236" i="3"/>
  <c r="H236" i="3" s="1"/>
  <c r="G237" i="3"/>
  <c r="H237" i="3" s="1"/>
  <c r="G238" i="3"/>
  <c r="H238" i="3" s="1"/>
  <c r="G239" i="3"/>
  <c r="H239" i="3" s="1"/>
  <c r="G240" i="3"/>
  <c r="H240" i="3" s="1"/>
  <c r="G241" i="3"/>
  <c r="H241" i="3" s="1"/>
  <c r="G242" i="3"/>
  <c r="H242" i="3" s="1"/>
  <c r="G243" i="3"/>
  <c r="H243" i="3" s="1"/>
  <c r="G244" i="3"/>
  <c r="H244" i="3" s="1"/>
  <c r="G245" i="3"/>
  <c r="H245" i="3" s="1"/>
  <c r="G246" i="3"/>
  <c r="H246" i="3" s="1"/>
  <c r="G247" i="3"/>
  <c r="H247" i="3" s="1"/>
  <c r="G248" i="3"/>
  <c r="H248" i="3" s="1"/>
  <c r="G249" i="3"/>
  <c r="H249" i="3" s="1"/>
  <c r="G250" i="3"/>
  <c r="H250" i="3" s="1"/>
  <c r="G251" i="3"/>
  <c r="H251" i="3" s="1"/>
  <c r="G252" i="3"/>
  <c r="H252" i="3" s="1"/>
  <c r="G253" i="3"/>
  <c r="H253" i="3" s="1"/>
  <c r="G254" i="3"/>
  <c r="H254" i="3" s="1"/>
  <c r="G255" i="3"/>
  <c r="H255" i="3" s="1"/>
  <c r="G256" i="3"/>
  <c r="H256" i="3" s="1"/>
  <c r="G257" i="3"/>
  <c r="H257" i="3" s="1"/>
  <c r="G258" i="3"/>
  <c r="H258" i="3" s="1"/>
  <c r="G259" i="3"/>
  <c r="H259" i="3" s="1"/>
  <c r="G260" i="3"/>
  <c r="H260" i="3" s="1"/>
  <c r="G261" i="3"/>
  <c r="H261" i="3" s="1"/>
  <c r="G262" i="3"/>
  <c r="H262" i="3" s="1"/>
  <c r="G263" i="3"/>
  <c r="H263" i="3" s="1"/>
  <c r="G264" i="3"/>
  <c r="H264" i="3" s="1"/>
  <c r="G265" i="3"/>
  <c r="H265" i="3" s="1"/>
  <c r="G266" i="3"/>
  <c r="H266" i="3" s="1"/>
  <c r="G267" i="3"/>
  <c r="H267" i="3" s="1"/>
  <c r="G268" i="3"/>
  <c r="H268" i="3" s="1"/>
  <c r="G269" i="3"/>
  <c r="H269" i="3" s="1"/>
  <c r="G270" i="3"/>
  <c r="H270" i="3" s="1"/>
  <c r="G271" i="3"/>
  <c r="H271" i="3" s="1"/>
  <c r="G272" i="3"/>
  <c r="H272" i="3" s="1"/>
  <c r="G273" i="3"/>
  <c r="H273" i="3" s="1"/>
  <c r="G274" i="3"/>
  <c r="H274" i="3" s="1"/>
  <c r="G275" i="3"/>
  <c r="H275" i="3" s="1"/>
  <c r="G276" i="3"/>
  <c r="H276" i="3" s="1"/>
  <c r="G277" i="3"/>
  <c r="H277" i="3" s="1"/>
  <c r="G278" i="3"/>
  <c r="H278" i="3" s="1"/>
  <c r="G279" i="3"/>
  <c r="H279" i="3" s="1"/>
  <c r="G280" i="3"/>
  <c r="H280" i="3" s="1"/>
  <c r="G281" i="3"/>
  <c r="H281" i="3" s="1"/>
  <c r="G282" i="3"/>
  <c r="H282" i="3" s="1"/>
  <c r="G283" i="3"/>
  <c r="H283" i="3" s="1"/>
  <c r="G284" i="3"/>
  <c r="H284" i="3" s="1"/>
  <c r="G285" i="3"/>
  <c r="H285" i="3" s="1"/>
  <c r="G286" i="3"/>
  <c r="H286" i="3" s="1"/>
  <c r="G287" i="3"/>
  <c r="H287" i="3" s="1"/>
  <c r="G288" i="3"/>
  <c r="H288" i="3" s="1"/>
  <c r="G289" i="3"/>
  <c r="H289" i="3" s="1"/>
  <c r="G290" i="3"/>
  <c r="H290" i="3" s="1"/>
  <c r="G291" i="3"/>
  <c r="H291" i="3" s="1"/>
  <c r="G292" i="3"/>
  <c r="H292" i="3" s="1"/>
  <c r="G293" i="3"/>
  <c r="H293" i="3" s="1"/>
  <c r="G294" i="3"/>
  <c r="H294" i="3" s="1"/>
  <c r="G295" i="3"/>
  <c r="H295" i="3" s="1"/>
  <c r="G296" i="3"/>
  <c r="H296" i="3" s="1"/>
  <c r="G297" i="3"/>
  <c r="H297" i="3" s="1"/>
  <c r="G298" i="3"/>
  <c r="H298" i="3" s="1"/>
  <c r="G299" i="3"/>
  <c r="H299" i="3" s="1"/>
  <c r="G300" i="3"/>
  <c r="H300" i="3" s="1"/>
  <c r="G301" i="3"/>
  <c r="H301" i="3" s="1"/>
  <c r="G302" i="3"/>
  <c r="H302" i="3" s="1"/>
  <c r="G303" i="3"/>
  <c r="H303" i="3" s="1"/>
  <c r="G304" i="3"/>
  <c r="H304" i="3" s="1"/>
  <c r="G305" i="3"/>
  <c r="H305" i="3" s="1"/>
  <c r="G306" i="3"/>
  <c r="H306" i="3" s="1"/>
  <c r="G307" i="3"/>
  <c r="H307" i="3" s="1"/>
  <c r="G308" i="3"/>
  <c r="H308" i="3" s="1"/>
  <c r="G309" i="3"/>
  <c r="H309" i="3" s="1"/>
  <c r="G310" i="3"/>
  <c r="H310" i="3" s="1"/>
  <c r="G311" i="3"/>
  <c r="H311" i="3" s="1"/>
  <c r="G312" i="3"/>
  <c r="H312" i="3" s="1"/>
  <c r="G313" i="3"/>
  <c r="H313" i="3" s="1"/>
  <c r="G314" i="3"/>
  <c r="H314" i="3" s="1"/>
  <c r="G315" i="3"/>
  <c r="H315" i="3" s="1"/>
  <c r="G316" i="3"/>
  <c r="H316" i="3" s="1"/>
  <c r="G317" i="3"/>
  <c r="H317" i="3" s="1"/>
  <c r="G318" i="3"/>
  <c r="H318" i="3" s="1"/>
  <c r="G319" i="3"/>
  <c r="H319" i="3" s="1"/>
  <c r="G320" i="3"/>
  <c r="H320" i="3" s="1"/>
  <c r="G321" i="3"/>
  <c r="H321" i="3" s="1"/>
  <c r="G3" i="2"/>
  <c r="H3" i="2" s="1"/>
  <c r="G4" i="2"/>
  <c r="H4" i="2" s="1"/>
  <c r="G5" i="2"/>
  <c r="H5" i="2" s="1"/>
  <c r="G6" i="2"/>
  <c r="H6" i="2" s="1"/>
  <c r="G7" i="2"/>
  <c r="H7" i="2" s="1"/>
  <c r="G8" i="2"/>
  <c r="H8" i="2" s="1"/>
  <c r="G9" i="2"/>
  <c r="H9" i="2" s="1"/>
  <c r="G10" i="2"/>
  <c r="H10" i="2" s="1"/>
  <c r="G11" i="2"/>
  <c r="H11" i="2" s="1"/>
  <c r="G12" i="2"/>
  <c r="H12" i="2" s="1"/>
  <c r="G13" i="2"/>
  <c r="H13" i="2" s="1"/>
  <c r="G14" i="2"/>
  <c r="H14" i="2" s="1"/>
  <c r="G15" i="2"/>
  <c r="H15" i="2" s="1"/>
  <c r="G16" i="2"/>
  <c r="H16" i="2" s="1"/>
  <c r="G17" i="2"/>
  <c r="H17" i="2" s="1"/>
  <c r="G18" i="2"/>
  <c r="H18" i="2" s="1"/>
  <c r="G19" i="2"/>
  <c r="H19" i="2" s="1"/>
  <c r="G20" i="2"/>
  <c r="H20" i="2" s="1"/>
  <c r="G21" i="2"/>
  <c r="H21" i="2" s="1"/>
  <c r="G22" i="2"/>
  <c r="H22" i="2" s="1"/>
  <c r="G23" i="2"/>
  <c r="H23" i="2" s="1"/>
  <c r="G24" i="2"/>
  <c r="H24" i="2" s="1"/>
  <c r="G25" i="2"/>
  <c r="H25" i="2" s="1"/>
  <c r="G26" i="2"/>
  <c r="H26" i="2" s="1"/>
  <c r="G27" i="2"/>
  <c r="H27" i="2" s="1"/>
  <c r="G28" i="2"/>
  <c r="H28" i="2" s="1"/>
  <c r="G29" i="2"/>
  <c r="H29" i="2" s="1"/>
  <c r="G30" i="2"/>
  <c r="H30" i="2" s="1"/>
  <c r="G31" i="2"/>
  <c r="H31" i="2" s="1"/>
  <c r="G32" i="2"/>
  <c r="H32" i="2" s="1"/>
  <c r="G33" i="2"/>
  <c r="H33" i="2" s="1"/>
  <c r="G34" i="2"/>
  <c r="H34" i="2" s="1"/>
  <c r="G35" i="2"/>
  <c r="H35" i="2" s="1"/>
  <c r="G36" i="2"/>
  <c r="H36" i="2" s="1"/>
  <c r="G37" i="2"/>
  <c r="H37" i="2" s="1"/>
  <c r="G38" i="2"/>
  <c r="H38" i="2" s="1"/>
  <c r="G39" i="2"/>
  <c r="H39" i="2" s="1"/>
  <c r="G40" i="2"/>
  <c r="H40" i="2" s="1"/>
  <c r="G41" i="2"/>
  <c r="H41" i="2" s="1"/>
  <c r="G42" i="2"/>
  <c r="H42" i="2" s="1"/>
  <c r="G43" i="2"/>
  <c r="H43" i="2" s="1"/>
  <c r="G44" i="2"/>
  <c r="H44" i="2" s="1"/>
  <c r="G45" i="2"/>
  <c r="H45" i="2" s="1"/>
  <c r="G46" i="2"/>
  <c r="H46" i="2" s="1"/>
  <c r="G47" i="2"/>
  <c r="H47" i="2" s="1"/>
  <c r="G48" i="2"/>
  <c r="H48" i="2" s="1"/>
  <c r="G49" i="2"/>
  <c r="H49" i="2" s="1"/>
  <c r="G50" i="2"/>
  <c r="H50" i="2" s="1"/>
  <c r="G51" i="2"/>
  <c r="H51" i="2" s="1"/>
  <c r="G52" i="2"/>
  <c r="H52" i="2" s="1"/>
  <c r="G53" i="2"/>
  <c r="H53" i="2" s="1"/>
  <c r="G54" i="2"/>
  <c r="H54" i="2" s="1"/>
  <c r="G55" i="2"/>
  <c r="H55" i="2" s="1"/>
  <c r="G56" i="2"/>
  <c r="H56" i="2" s="1"/>
  <c r="G57" i="2"/>
  <c r="H57" i="2" s="1"/>
  <c r="G58" i="2"/>
  <c r="H58" i="2" s="1"/>
  <c r="G59" i="2"/>
  <c r="H59" i="2" s="1"/>
  <c r="G60" i="2"/>
  <c r="H60" i="2" s="1"/>
  <c r="G61" i="2"/>
  <c r="H61" i="2" s="1"/>
  <c r="G62" i="2"/>
  <c r="H62" i="2" s="1"/>
  <c r="G63" i="2"/>
  <c r="H63" i="2" s="1"/>
  <c r="G64" i="2"/>
  <c r="H64" i="2" s="1"/>
  <c r="G65" i="2"/>
  <c r="H65" i="2" s="1"/>
  <c r="G66" i="2"/>
  <c r="H66" i="2" s="1"/>
  <c r="G67" i="2"/>
  <c r="H67" i="2" s="1"/>
  <c r="G68" i="2"/>
  <c r="H68" i="2" s="1"/>
  <c r="G69" i="2"/>
  <c r="H69" i="2" s="1"/>
  <c r="G70" i="2"/>
  <c r="H70" i="2" s="1"/>
  <c r="G71" i="2"/>
  <c r="H71" i="2" s="1"/>
  <c r="G72" i="2"/>
  <c r="H72" i="2" s="1"/>
  <c r="G73" i="2"/>
  <c r="H73" i="2" s="1"/>
  <c r="G74" i="2"/>
  <c r="H74" i="2" s="1"/>
  <c r="G75" i="2"/>
  <c r="H75" i="2" s="1"/>
  <c r="G76" i="2"/>
  <c r="H76" i="2" s="1"/>
  <c r="G77" i="2"/>
  <c r="H77" i="2" s="1"/>
  <c r="G78" i="2"/>
  <c r="H78" i="2" s="1"/>
  <c r="G79" i="2"/>
  <c r="H79" i="2" s="1"/>
  <c r="G80" i="2"/>
  <c r="H80" i="2" s="1"/>
  <c r="G81" i="2"/>
  <c r="H81" i="2" s="1"/>
  <c r="G82" i="2"/>
  <c r="H82" i="2" s="1"/>
  <c r="G83" i="2"/>
  <c r="H83" i="2" s="1"/>
  <c r="G84" i="2"/>
  <c r="H84" i="2" s="1"/>
  <c r="G85" i="2"/>
  <c r="H85" i="2" s="1"/>
  <c r="G86" i="2"/>
  <c r="H86" i="2" s="1"/>
  <c r="G87" i="2"/>
  <c r="H87" i="2" s="1"/>
  <c r="G88" i="2"/>
  <c r="H88" i="2" s="1"/>
  <c r="G89" i="2"/>
  <c r="H89" i="2" s="1"/>
  <c r="G90" i="2"/>
  <c r="H90" i="2" s="1"/>
  <c r="G91" i="2"/>
  <c r="H91" i="2" s="1"/>
  <c r="G92" i="2"/>
  <c r="H92" i="2" s="1"/>
  <c r="G93" i="2"/>
  <c r="H93" i="2" s="1"/>
  <c r="G94" i="2"/>
  <c r="H94" i="2" s="1"/>
  <c r="G95" i="2"/>
  <c r="H95" i="2" s="1"/>
  <c r="G96" i="2"/>
  <c r="H96" i="2" s="1"/>
  <c r="G97" i="2"/>
  <c r="H97" i="2" s="1"/>
  <c r="G98" i="2"/>
  <c r="H98" i="2" s="1"/>
  <c r="G99" i="2"/>
  <c r="H99" i="2" s="1"/>
  <c r="G100" i="2"/>
  <c r="H100" i="2" s="1"/>
  <c r="G101" i="2"/>
  <c r="H101" i="2" s="1"/>
  <c r="G102" i="2"/>
  <c r="H102" i="2" s="1"/>
  <c r="G103" i="2"/>
  <c r="H103" i="2" s="1"/>
  <c r="G104" i="2"/>
  <c r="H104" i="2" s="1"/>
  <c r="G105" i="2"/>
  <c r="H105" i="2" s="1"/>
  <c r="G106" i="2"/>
  <c r="H106" i="2" s="1"/>
  <c r="G107" i="2"/>
  <c r="H107" i="2" s="1"/>
  <c r="G108" i="2"/>
  <c r="H108" i="2" s="1"/>
  <c r="G109" i="2"/>
  <c r="H109" i="2" s="1"/>
  <c r="G110" i="2"/>
  <c r="H110" i="2" s="1"/>
  <c r="G111" i="2"/>
  <c r="H111" i="2" s="1"/>
  <c r="G112" i="2"/>
  <c r="H112" i="2" s="1"/>
  <c r="G113" i="2"/>
  <c r="H113" i="2" s="1"/>
  <c r="G114" i="2"/>
  <c r="H114" i="2" s="1"/>
  <c r="G115" i="2"/>
  <c r="H115" i="2" s="1"/>
  <c r="G116" i="2"/>
  <c r="H116" i="2" s="1"/>
  <c r="G117" i="2"/>
  <c r="H117" i="2" s="1"/>
  <c r="G118" i="2"/>
  <c r="H118" i="2" s="1"/>
  <c r="G119" i="2"/>
  <c r="H119" i="2" s="1"/>
  <c r="G120" i="2"/>
  <c r="H120" i="2" s="1"/>
  <c r="G121" i="2"/>
  <c r="H121" i="2" s="1"/>
  <c r="G122" i="2"/>
  <c r="H122" i="2" s="1"/>
  <c r="G123" i="2"/>
  <c r="H123" i="2" s="1"/>
  <c r="G124" i="2"/>
  <c r="H124" i="2" s="1"/>
  <c r="G125" i="2"/>
  <c r="H125" i="2" s="1"/>
  <c r="G126" i="2"/>
  <c r="H126" i="2" s="1"/>
  <c r="G127" i="2"/>
  <c r="H127" i="2" s="1"/>
  <c r="G128" i="2"/>
  <c r="H128" i="2" s="1"/>
  <c r="G129" i="2"/>
  <c r="H129" i="2" s="1"/>
  <c r="G130" i="2"/>
  <c r="H130" i="2" s="1"/>
  <c r="G131" i="2"/>
  <c r="H131" i="2" s="1"/>
  <c r="G132" i="2"/>
  <c r="H132" i="2" s="1"/>
  <c r="G133" i="2"/>
  <c r="H133" i="2" s="1"/>
  <c r="G134" i="2"/>
  <c r="H134" i="2" s="1"/>
  <c r="G135" i="2"/>
  <c r="H135" i="2" s="1"/>
  <c r="G136" i="2"/>
  <c r="H136" i="2" s="1"/>
  <c r="G137" i="2"/>
  <c r="H137" i="2" s="1"/>
  <c r="G138" i="2"/>
  <c r="H138" i="2" s="1"/>
  <c r="G139" i="2"/>
  <c r="H139" i="2" s="1"/>
  <c r="G140" i="2"/>
  <c r="H140" i="2" s="1"/>
  <c r="G141" i="2"/>
  <c r="H141" i="2" s="1"/>
  <c r="G142" i="2"/>
  <c r="H142" i="2" s="1"/>
  <c r="G143" i="2"/>
  <c r="H143" i="2" s="1"/>
  <c r="G144" i="2"/>
  <c r="H144" i="2" s="1"/>
  <c r="G145" i="2"/>
  <c r="H145" i="2" s="1"/>
  <c r="G146" i="2"/>
  <c r="H146" i="2" s="1"/>
  <c r="G147" i="2"/>
  <c r="H147" i="2" s="1"/>
  <c r="G148" i="2"/>
  <c r="H148" i="2" s="1"/>
  <c r="G149" i="2"/>
  <c r="H149" i="2" s="1"/>
  <c r="G150" i="2"/>
  <c r="H150" i="2" s="1"/>
  <c r="G151" i="2"/>
  <c r="H151" i="2" s="1"/>
  <c r="G152" i="2"/>
  <c r="H152" i="2" s="1"/>
  <c r="G153" i="2"/>
  <c r="H153" i="2" s="1"/>
  <c r="G154" i="2"/>
  <c r="H154" i="2" s="1"/>
  <c r="G155" i="2"/>
  <c r="H155" i="2" s="1"/>
  <c r="G156" i="2"/>
  <c r="H156" i="2" s="1"/>
  <c r="G157" i="2"/>
  <c r="H157" i="2" s="1"/>
  <c r="G158" i="2"/>
  <c r="H158" i="2" s="1"/>
  <c r="G159" i="2"/>
  <c r="H159" i="2" s="1"/>
  <c r="G160" i="2"/>
  <c r="H160" i="2" s="1"/>
  <c r="G161" i="2"/>
  <c r="H161" i="2" s="1"/>
  <c r="G162" i="2"/>
  <c r="H162" i="2" s="1"/>
  <c r="G163" i="2"/>
  <c r="H163" i="2" s="1"/>
  <c r="G164" i="2"/>
  <c r="H164" i="2" s="1"/>
  <c r="G165" i="2"/>
  <c r="H165" i="2" s="1"/>
  <c r="G166" i="2"/>
  <c r="H166" i="2" s="1"/>
  <c r="G167" i="2"/>
  <c r="H167" i="2" s="1"/>
  <c r="G168" i="2"/>
  <c r="H168" i="2" s="1"/>
  <c r="G169" i="2"/>
  <c r="H169" i="2" s="1"/>
  <c r="G170" i="2"/>
  <c r="H170" i="2" s="1"/>
  <c r="G171" i="2"/>
  <c r="H171" i="2" s="1"/>
  <c r="G172" i="2"/>
  <c r="H172" i="2" s="1"/>
  <c r="G173" i="2"/>
  <c r="H173" i="2" s="1"/>
  <c r="G174" i="2"/>
  <c r="H174" i="2" s="1"/>
  <c r="G175" i="2"/>
  <c r="H175" i="2" s="1"/>
  <c r="G176" i="2"/>
  <c r="H176" i="2" s="1"/>
  <c r="G177" i="2"/>
  <c r="H177" i="2" s="1"/>
  <c r="G178" i="2"/>
  <c r="H178" i="2" s="1"/>
  <c r="G179" i="2"/>
  <c r="H179" i="2" s="1"/>
  <c r="G180" i="2"/>
  <c r="H180" i="2" s="1"/>
  <c r="G181" i="2"/>
  <c r="H181" i="2" s="1"/>
  <c r="G182" i="2"/>
  <c r="H182" i="2" s="1"/>
  <c r="G183" i="2"/>
  <c r="H183" i="2" s="1"/>
  <c r="G184" i="2"/>
  <c r="H184" i="2" s="1"/>
  <c r="G185" i="2"/>
  <c r="H185" i="2" s="1"/>
  <c r="G186" i="2"/>
  <c r="H186" i="2" s="1"/>
  <c r="G187" i="2"/>
  <c r="H187" i="2" s="1"/>
  <c r="G188" i="2"/>
  <c r="H188" i="2" s="1"/>
  <c r="G189" i="2"/>
  <c r="H189" i="2" s="1"/>
  <c r="G190" i="2"/>
  <c r="H190" i="2" s="1"/>
  <c r="G191" i="2"/>
  <c r="H191" i="2" s="1"/>
  <c r="G192" i="2"/>
  <c r="H192" i="2" s="1"/>
  <c r="G193" i="2"/>
  <c r="H193" i="2" s="1"/>
  <c r="G194" i="2"/>
  <c r="H194" i="2" s="1"/>
  <c r="G195" i="2"/>
  <c r="H195" i="2" s="1"/>
  <c r="G196" i="2"/>
  <c r="H196" i="2" s="1"/>
  <c r="G197" i="2"/>
  <c r="H197" i="2" s="1"/>
  <c r="G198" i="2"/>
  <c r="H198" i="2" s="1"/>
  <c r="G199" i="2"/>
  <c r="H199" i="2" s="1"/>
  <c r="G200" i="2"/>
  <c r="H200" i="2" s="1"/>
  <c r="G201" i="2"/>
  <c r="H201" i="2" s="1"/>
  <c r="G202" i="2"/>
  <c r="H202" i="2" s="1"/>
  <c r="G203" i="2"/>
  <c r="H203" i="2" s="1"/>
  <c r="G204" i="2"/>
  <c r="H204" i="2" s="1"/>
  <c r="G205" i="2"/>
  <c r="H205" i="2" s="1"/>
  <c r="G206" i="2"/>
  <c r="H206" i="2" s="1"/>
  <c r="G207" i="2"/>
  <c r="H207" i="2" s="1"/>
  <c r="G208" i="2"/>
  <c r="H208" i="2" s="1"/>
  <c r="G209" i="2"/>
  <c r="H209" i="2" s="1"/>
  <c r="G210" i="2"/>
  <c r="H210" i="2" s="1"/>
  <c r="G211" i="2"/>
  <c r="H211" i="2" s="1"/>
  <c r="G212" i="2"/>
  <c r="H212" i="2" s="1"/>
  <c r="G213" i="2"/>
  <c r="H213" i="2" s="1"/>
  <c r="G214" i="2"/>
  <c r="H214" i="2" s="1"/>
  <c r="G215" i="2"/>
  <c r="H215" i="2" s="1"/>
  <c r="G216" i="2"/>
  <c r="H216" i="2" s="1"/>
  <c r="G217" i="2"/>
  <c r="H217" i="2" s="1"/>
  <c r="G218" i="2"/>
  <c r="H218" i="2" s="1"/>
  <c r="G219" i="2"/>
  <c r="H219" i="2" s="1"/>
  <c r="G220" i="2"/>
  <c r="H220" i="2" s="1"/>
  <c r="G221" i="2"/>
  <c r="H221" i="2" s="1"/>
  <c r="G222" i="2"/>
  <c r="H222" i="2" s="1"/>
  <c r="G223" i="2"/>
  <c r="H223" i="2" s="1"/>
  <c r="G224" i="2"/>
  <c r="H224" i="2" s="1"/>
  <c r="G225" i="2"/>
  <c r="H225" i="2" s="1"/>
  <c r="G226" i="2"/>
  <c r="H226" i="2" s="1"/>
  <c r="G227" i="2"/>
  <c r="H227" i="2" s="1"/>
  <c r="G228" i="2"/>
  <c r="H228" i="2" s="1"/>
  <c r="G229" i="2"/>
  <c r="H229" i="2" s="1"/>
  <c r="G230" i="2"/>
  <c r="H230" i="2" s="1"/>
  <c r="G231" i="2"/>
  <c r="H231" i="2" s="1"/>
  <c r="G232" i="2"/>
  <c r="H232" i="2" s="1"/>
  <c r="G233" i="2"/>
  <c r="H233" i="2" s="1"/>
  <c r="G234" i="2"/>
  <c r="H234" i="2" s="1"/>
  <c r="G235" i="2"/>
  <c r="H235" i="2" s="1"/>
  <c r="G236" i="2"/>
  <c r="H236" i="2" s="1"/>
  <c r="G237" i="2"/>
  <c r="H237" i="2" s="1"/>
  <c r="G238" i="2"/>
  <c r="H238" i="2" s="1"/>
  <c r="G239" i="2"/>
  <c r="H239" i="2" s="1"/>
  <c r="G240" i="2"/>
  <c r="H240" i="2" s="1"/>
  <c r="G241" i="2"/>
  <c r="H241" i="2" s="1"/>
  <c r="G242" i="2"/>
  <c r="H242" i="2" s="1"/>
  <c r="G243" i="2"/>
  <c r="H243" i="2" s="1"/>
  <c r="G244" i="2"/>
  <c r="H244" i="2" s="1"/>
  <c r="G245" i="2"/>
  <c r="H245" i="2" s="1"/>
  <c r="G246" i="2"/>
  <c r="H246" i="2" s="1"/>
  <c r="G247" i="2"/>
  <c r="H247" i="2" s="1"/>
  <c r="G248" i="2"/>
  <c r="H248" i="2" s="1"/>
  <c r="G249" i="2"/>
  <c r="H249" i="2" s="1"/>
  <c r="G250" i="2"/>
  <c r="H250" i="2" s="1"/>
  <c r="G251" i="2"/>
  <c r="H251" i="2" s="1"/>
  <c r="G252" i="2"/>
  <c r="H252" i="2" s="1"/>
  <c r="G253" i="2"/>
  <c r="H253" i="2" s="1"/>
  <c r="G254" i="2"/>
  <c r="H254" i="2" s="1"/>
  <c r="G255" i="2"/>
  <c r="H255" i="2" s="1"/>
  <c r="G256" i="2"/>
  <c r="H256" i="2" s="1"/>
  <c r="G257" i="2"/>
  <c r="H257" i="2" s="1"/>
  <c r="G258" i="2"/>
  <c r="H258" i="2" s="1"/>
  <c r="G259" i="2"/>
  <c r="H259" i="2" s="1"/>
  <c r="G260" i="2"/>
  <c r="H260" i="2" s="1"/>
  <c r="G261" i="2"/>
  <c r="H261" i="2" s="1"/>
  <c r="G262" i="2"/>
  <c r="H262" i="2" s="1"/>
  <c r="G263" i="2"/>
  <c r="H263" i="2" s="1"/>
  <c r="G264" i="2"/>
  <c r="H264" i="2" s="1"/>
  <c r="G265" i="2"/>
  <c r="H265" i="2" s="1"/>
  <c r="G266" i="2"/>
  <c r="H266" i="2" s="1"/>
  <c r="G267" i="2"/>
  <c r="H267" i="2" s="1"/>
  <c r="G268" i="2"/>
  <c r="H268" i="2" s="1"/>
  <c r="G269" i="2"/>
  <c r="H269" i="2" s="1"/>
  <c r="G270" i="2"/>
  <c r="H270" i="2" s="1"/>
  <c r="G271" i="2"/>
  <c r="H271" i="2" s="1"/>
  <c r="G272" i="2"/>
  <c r="H272" i="2" s="1"/>
  <c r="G273" i="2"/>
  <c r="H273" i="2" s="1"/>
  <c r="G274" i="2"/>
  <c r="H274" i="2" s="1"/>
  <c r="G275" i="2"/>
  <c r="H275" i="2" s="1"/>
  <c r="G276" i="2"/>
  <c r="H276" i="2" s="1"/>
  <c r="G277" i="2"/>
  <c r="H277" i="2" s="1"/>
  <c r="G278" i="2"/>
  <c r="H278" i="2" s="1"/>
  <c r="G279" i="2"/>
  <c r="H279" i="2" s="1"/>
  <c r="G280" i="2"/>
  <c r="H280" i="2" s="1"/>
  <c r="G281" i="2"/>
  <c r="H281" i="2" s="1"/>
  <c r="G282" i="2"/>
  <c r="H282" i="2" s="1"/>
  <c r="G283" i="2"/>
  <c r="H283" i="2" s="1"/>
  <c r="G284" i="2"/>
  <c r="H284" i="2" s="1"/>
  <c r="G285" i="2"/>
  <c r="H285" i="2" s="1"/>
  <c r="G286" i="2"/>
  <c r="H286" i="2" s="1"/>
  <c r="G287" i="2"/>
  <c r="H287" i="2" s="1"/>
  <c r="G288" i="2"/>
  <c r="H288" i="2" s="1"/>
  <c r="G289" i="2"/>
  <c r="H289" i="2" s="1"/>
  <c r="G290" i="2"/>
  <c r="H290" i="2" s="1"/>
  <c r="G291" i="2"/>
  <c r="H291" i="2" s="1"/>
  <c r="G292" i="2"/>
  <c r="H292" i="2" s="1"/>
  <c r="G293" i="2"/>
  <c r="H293" i="2" s="1"/>
  <c r="H45" i="3"/>
</calcChain>
</file>

<file path=xl/sharedStrings.xml><?xml version="1.0" encoding="utf-8"?>
<sst xmlns="http://schemas.openxmlformats.org/spreadsheetml/2006/main" count="2577" uniqueCount="564">
  <si>
    <t>INVOICE DATE</t>
  </si>
  <si>
    <t>LOCATION</t>
  </si>
  <si>
    <t>DESCRIPTION OF WORKS</t>
  </si>
  <si>
    <t>PO</t>
  </si>
  <si>
    <t>COMPLETION DATE</t>
  </si>
  <si>
    <t>SUPPLIER</t>
  </si>
  <si>
    <t>NET COST</t>
  </si>
  <si>
    <t>VAT</t>
  </si>
  <si>
    <t>TOTAL COST</t>
  </si>
  <si>
    <t>CODE</t>
  </si>
  <si>
    <t>DESCRIPTION</t>
  </si>
  <si>
    <t>INVOICE NO</t>
  </si>
  <si>
    <t>INVOICE SIGNED</t>
  </si>
  <si>
    <t>COMMENTS</t>
  </si>
  <si>
    <t>Trafford</t>
  </si>
  <si>
    <t>N/A</t>
  </si>
  <si>
    <t>Aura Air Conditioning</t>
  </si>
  <si>
    <t>Maintenance Contracts</t>
  </si>
  <si>
    <t>Manchester</t>
  </si>
  <si>
    <t>m-r-s communications</t>
  </si>
  <si>
    <t>York</t>
  </si>
  <si>
    <t>R M Contractors (UK) Ltd</t>
  </si>
  <si>
    <t>Cleaning</t>
  </si>
  <si>
    <t>Multiple</t>
  </si>
  <si>
    <t>Chalvington Group</t>
  </si>
  <si>
    <t>Telephone</t>
  </si>
  <si>
    <t>Warehouse</t>
  </si>
  <si>
    <t>Store Consumables</t>
  </si>
  <si>
    <t>AC Annual Service</t>
  </si>
  <si>
    <t>Lakeside</t>
  </si>
  <si>
    <t>Newcastle</t>
  </si>
  <si>
    <t>Abtec Communications / Focus</t>
  </si>
  <si>
    <t>LaddersFree Ltd</t>
  </si>
  <si>
    <t>Head Office</t>
  </si>
  <si>
    <t>T4 Communications (UK) Ltd</t>
  </si>
  <si>
    <t>Recruitment Expenses</t>
  </si>
  <si>
    <t>Peterborough</t>
  </si>
  <si>
    <t>Ryman Limited</t>
  </si>
  <si>
    <t>Amazon Business</t>
  </si>
  <si>
    <t>Indeed Ireland</t>
  </si>
  <si>
    <t>Safe Removal</t>
  </si>
  <si>
    <t>Metro Security (UK) Limited</t>
  </si>
  <si>
    <t>Temp Store Closedown</t>
  </si>
  <si>
    <t>Total Service Charges</t>
  </si>
  <si>
    <t>Temp Store Consumables</t>
  </si>
  <si>
    <t>Barkers Print</t>
  </si>
  <si>
    <t>Prepayments</t>
  </si>
  <si>
    <t>Same System Ltd</t>
  </si>
  <si>
    <t>Stratford</t>
  </si>
  <si>
    <t>Bluewater</t>
  </si>
  <si>
    <t>Crawley</t>
  </si>
  <si>
    <t>Derby</t>
  </si>
  <si>
    <t>Portsmouth</t>
  </si>
  <si>
    <t>Store Repairs</t>
  </si>
  <si>
    <t>Dundee</t>
  </si>
  <si>
    <t>Bracknell</t>
  </si>
  <si>
    <t>Bromley</t>
  </si>
  <si>
    <t>Menkind Bromley - Air Conditioning Servicing. Quoted works</t>
  </si>
  <si>
    <t>Air Cool Enviromental</t>
  </si>
  <si>
    <t>Cheltenham</t>
  </si>
  <si>
    <t>Southampton</t>
  </si>
  <si>
    <t>Leeds White Rose</t>
  </si>
  <si>
    <t>Bexleyheath</t>
  </si>
  <si>
    <t>Cardiff</t>
  </si>
  <si>
    <t>Reading</t>
  </si>
  <si>
    <t>APS Master Spends Sheet - April 2024</t>
  </si>
  <si>
    <t>INVOICE / CARD</t>
  </si>
  <si>
    <t>APS</t>
  </si>
  <si>
    <t>Brighton</t>
  </si>
  <si>
    <t>Bristol</t>
  </si>
  <si>
    <t>Colchester</t>
  </si>
  <si>
    <t>Eastbourne</t>
  </si>
  <si>
    <t>High Wycombe</t>
  </si>
  <si>
    <t>Lakeside Lower</t>
  </si>
  <si>
    <t>Milton Keynes</t>
  </si>
  <si>
    <t>Nottingham</t>
  </si>
  <si>
    <t>Silverburn</t>
  </si>
  <si>
    <t>Staines</t>
  </si>
  <si>
    <t>Warrington</t>
  </si>
  <si>
    <t>Watford</t>
  </si>
  <si>
    <t>Westfield London</t>
  </si>
  <si>
    <t>Westfield</t>
  </si>
  <si>
    <t>COMPCO Master Spends Sheet - April 2024</t>
  </si>
  <si>
    <t>Flow Switch Test</t>
  </si>
  <si>
    <t>Compco</t>
  </si>
  <si>
    <t>Maintenance Contract</t>
  </si>
  <si>
    <t>Bradford</t>
  </si>
  <si>
    <t>PHS</t>
  </si>
  <si>
    <t>Chelmsford</t>
  </si>
  <si>
    <t>NOMINAL</t>
  </si>
  <si>
    <t xml:space="preserve">Temp store set-up costs </t>
  </si>
  <si>
    <t xml:space="preserve">Retail Support's Nominal Code List </t>
  </si>
  <si>
    <t xml:space="preserve">Travel </t>
  </si>
  <si>
    <t>Supplier / Company</t>
  </si>
  <si>
    <t>Code</t>
  </si>
  <si>
    <t xml:space="preserve">Description </t>
  </si>
  <si>
    <t>Example/Notes</t>
  </si>
  <si>
    <t>Lamp Shop Online</t>
  </si>
  <si>
    <t xml:space="preserve">Field Management </t>
  </si>
  <si>
    <t xml:space="preserve">Brian, Rob &amp; Ducan </t>
  </si>
  <si>
    <t>APS - annual service</t>
  </si>
  <si>
    <t>Stock Takes</t>
  </si>
  <si>
    <t>APS - installation of alarm</t>
  </si>
  <si>
    <t xml:space="preserve">Karen Williams usually books. </t>
  </si>
  <si>
    <t xml:space="preserve">Store Support </t>
  </si>
  <si>
    <t>Staff cover</t>
  </si>
  <si>
    <t>MetSafe - installation</t>
  </si>
  <si>
    <t>Temp Store Opening</t>
  </si>
  <si>
    <t>MetSafe - removal</t>
  </si>
  <si>
    <t>Temp Store Closing</t>
  </si>
  <si>
    <t>MetSafe - replacement keys</t>
  </si>
  <si>
    <t>HASAW - FRA / PATs</t>
  </si>
  <si>
    <t xml:space="preserve">Maintenance </t>
  </si>
  <si>
    <t>AAW Maintenance</t>
  </si>
  <si>
    <t>Store Maintenance</t>
  </si>
  <si>
    <t xml:space="preserve">Servicing, contracts etc. </t>
  </si>
  <si>
    <t>CJL Maintenance</t>
  </si>
  <si>
    <t>Windows, floors etc.</t>
  </si>
  <si>
    <t>Reactive, bulbs etc.</t>
  </si>
  <si>
    <t>Love your Logo</t>
  </si>
  <si>
    <t>PDC Corp</t>
  </si>
  <si>
    <t xml:space="preserve">Openings / Closures </t>
  </si>
  <si>
    <t xml:space="preserve">Packaging </t>
  </si>
  <si>
    <t>Closure labels</t>
  </si>
  <si>
    <t xml:space="preserve">Temp store consumables </t>
  </si>
  <si>
    <t xml:space="preserve">Phones, ladders, extinguishers etc. </t>
  </si>
  <si>
    <t xml:space="preserve">Safe install etc. </t>
  </si>
  <si>
    <t xml:space="preserve">Temp store closedowns </t>
  </si>
  <si>
    <t xml:space="preserve">Safe removal etc. </t>
  </si>
  <si>
    <t>Refits (CAPEX)</t>
  </si>
  <si>
    <t xml:space="preserve">Refits etc. BC will advise. </t>
  </si>
  <si>
    <t>0040</t>
  </si>
  <si>
    <t xml:space="preserve">Consumables </t>
  </si>
  <si>
    <t>Point of Purchase</t>
  </si>
  <si>
    <t>POS Holders</t>
  </si>
  <si>
    <t xml:space="preserve">Uniform </t>
  </si>
  <si>
    <t>T-shirts &amp; Name Badges</t>
  </si>
  <si>
    <t xml:space="preserve">Stores </t>
  </si>
  <si>
    <t>Quigley Crabree</t>
  </si>
  <si>
    <t xml:space="preserve">Head Office </t>
  </si>
  <si>
    <t xml:space="preserve">Paper, envelopes etc. </t>
  </si>
  <si>
    <t xml:space="preserve">Recruitment </t>
  </si>
  <si>
    <t>Agency (Temps)</t>
  </si>
  <si>
    <t>Staff Training</t>
  </si>
  <si>
    <t>Perm Recruitment &amp; Indeed</t>
  </si>
  <si>
    <t>Other</t>
  </si>
  <si>
    <t xml:space="preserve">Computer </t>
  </si>
  <si>
    <t>FreshDesk - £280 quarterly / 5 licenses</t>
  </si>
  <si>
    <t>Focus / Chalvington etc.</t>
  </si>
  <si>
    <t>SC0025</t>
  </si>
  <si>
    <t>Store Consumables order SC0026</t>
  </si>
  <si>
    <t>SC0026</t>
  </si>
  <si>
    <t>GB5T5AUABEY</t>
  </si>
  <si>
    <t>A/C Service</t>
  </si>
  <si>
    <t>S25259</t>
  </si>
  <si>
    <t>Carry out EICR electrical remedial work</t>
  </si>
  <si>
    <r>
      <t xml:space="preserve">Service of Fire Alarm, Emergency Lighting and Check Fire Extinguishers + PATs x43
</t>
    </r>
    <r>
      <rPr>
        <i/>
        <sz val="10"/>
        <color theme="1"/>
        <rFont val="Arial"/>
        <family val="2"/>
      </rPr>
      <t>Replace 2 backup batteries in fire alarm panel + faulty MCP and test</t>
    </r>
  </si>
  <si>
    <r>
      <t xml:space="preserve">Service of Fire Alarm, Emergency Lighting and Check Fire Extinguishers + PATs x75
</t>
    </r>
    <r>
      <rPr>
        <i/>
        <sz val="10"/>
        <color theme="1"/>
        <rFont val="Arial"/>
        <family val="2"/>
      </rPr>
      <t>Replace 2 backup batteries in fire panel + faulty smoke detectors and test</t>
    </r>
  </si>
  <si>
    <r>
      <t xml:space="preserve">Service of Fire Alarm, Emergency Lighting and Check Fire Extinguishers + PATs x65
</t>
    </r>
    <r>
      <rPr>
        <i/>
        <sz val="10"/>
        <color theme="1"/>
        <rFont val="Arial"/>
        <family val="2"/>
      </rPr>
      <t>Replace 4 out of date smoke detectors and test</t>
    </r>
  </si>
  <si>
    <t>Service of Fire Alarm, Emergency Lighting and Check Fire Extinguishers + PATs x53</t>
  </si>
  <si>
    <t>Service of Fire Alarm, Emergency Lighting and Check Fire Extinguishers + PATs x76</t>
  </si>
  <si>
    <t>Labour and materials to install new MCP at front ofShop test and commission as per quote</t>
  </si>
  <si>
    <t>Service of Fire Alarm, Emergency Lighting and Check Fire Extinguishers + PATs x69</t>
  </si>
  <si>
    <t>Service of Fire Alarm, Emergency Lighting and Check Fire Extinguishers + PATS x74</t>
  </si>
  <si>
    <t>Out of hours travel labour and materials to investigatefire alarm fault and diagnose PSU fault</t>
  </si>
  <si>
    <t xml:space="preserve">Carry out EICR electrical remedial work </t>
  </si>
  <si>
    <t>Service of Fire Alarm, Emergency Lighting and Check Fire Extinguishers + PATS x49</t>
  </si>
  <si>
    <t>Travel and labour to investigate fire alarm not signallingto centre, checked smoke detector and MCP settingalarm off locally</t>
  </si>
  <si>
    <t>Travel and labour to investigate fire alarm not signalling to centre</t>
  </si>
  <si>
    <t>Service of Fire Alarm, Emergency Lighting and Check Fire Extinguishers + PATS x48</t>
  </si>
  <si>
    <t>Store Opening Foamex Boards  Integrity / x 5 Core Valuesx 1 Be Kind MK
Recruitment A3 PostersPrinting x 33 in total (split between 4 types)</t>
  </si>
  <si>
    <t>Neptune Building Services Ltd</t>
  </si>
  <si>
    <t>SI305825</t>
  </si>
  <si>
    <t>SI306363</t>
  </si>
  <si>
    <t>SI306433</t>
  </si>
  <si>
    <t>SI306501</t>
  </si>
  <si>
    <t>SI306355</t>
  </si>
  <si>
    <t>Mr D Dixon Standard 35.50 Hours</t>
  </si>
  <si>
    <t>Optima Recruitment Ltd</t>
  </si>
  <si>
    <t>HANDPORTABLE RADIO for 1 month(s) from01/05/2025 to 31/05/2025</t>
  </si>
  <si>
    <t>Apex Radio Systems Ltd</t>
  </si>
  <si>
    <t>Service of Fire Alarm, Emergency Lighting and Check Fire Extinguishers + PATS x60</t>
  </si>
  <si>
    <t>IEI25-00221409</t>
  </si>
  <si>
    <t>April 2025 Sponsored Jobs on Indeed.com - Menkind</t>
  </si>
  <si>
    <t>Quarterly Loan Charge for Period Ending March 2025 for safes at 27 locations</t>
  </si>
  <si>
    <t>QUARTERLY CHARGE FOR RADIOIN MANCHESTER from 1st April</t>
  </si>
  <si>
    <t>Performance Networks Limited</t>
  </si>
  <si>
    <t>INV-27302</t>
  </si>
  <si>
    <t>INV-27246</t>
  </si>
  <si>
    <t>Remote WiFi Support Helpdesk &amp; Monitoring - 9am - 5:30pm Mon - Fri
1 May 2025 - 31 Jul 2025</t>
  </si>
  <si>
    <t>INV-27292</t>
  </si>
  <si>
    <t>Daisy HVS User Licence (Inclusive Calls) + O2 Unlimited Data Sim 30 days</t>
  </si>
  <si>
    <t xml:space="preserve">WINDOW CLEANING WORK CARRIED OUT FROM 05.03.25-02.04.25 </t>
  </si>
  <si>
    <t>SI306934</t>
  </si>
  <si>
    <t>ShopSafe Radio Rental &amp; Network Access (Annual)</t>
  </si>
  <si>
    <t>ShopSafe Limited</t>
  </si>
  <si>
    <t>INV014082</t>
  </si>
  <si>
    <t>3 months of access to SameSystem 61 Depts 01.04.2025 - 30.06.2025</t>
  </si>
  <si>
    <t>Store Consumables Top Up SC0026</t>
  </si>
  <si>
    <t>Rightcheck subscription fees for March 2025</t>
  </si>
  <si>
    <t>INV-3530</t>
  </si>
  <si>
    <t>Rightcheck subscription fee for April 2025</t>
  </si>
  <si>
    <t>INV-3614</t>
  </si>
  <si>
    <t>1 x Premium Installation1 x Yealink W73P Dect Handset and Base1 x Draytek 2865AX RoutersSite - LS11 8LLDate - 05/02/2025</t>
  </si>
  <si>
    <t>1 x Premium Installation1 x Yealink W73P Dect Handset and Base1 x Draytek 2865AX RoutersSite - E20 1EJDate - 14/02/2025</t>
  </si>
  <si>
    <t>Window Cleaning Services to Menkind Stores - 4 weeks to 17/01/25</t>
  </si>
  <si>
    <t>Window Cleaning Services to Menkind Stores to 21/12/24 + 8wk services</t>
  </si>
  <si>
    <t>Window Cleaning Services to Menkind Stores - 4 weeks to 14/03/25</t>
  </si>
  <si>
    <t>Window Cleaning Services to Menkind Stores - 4 weeks to 11/04/25</t>
  </si>
  <si>
    <t>Store Consuables order SC0027</t>
  </si>
  <si>
    <t>SC0027</t>
  </si>
  <si>
    <t>GB514LHOABEY</t>
  </si>
  <si>
    <t>Hire of Hire - HANDPORTABLE RADIO for 1 month(s) from01/04/2025 to 30/04/2025</t>
  </si>
  <si>
    <t>S25740</t>
  </si>
  <si>
    <t>Annual Fire Extinguisher Service</t>
  </si>
  <si>
    <t>Help &amp; Safety at Work Ltd</t>
  </si>
  <si>
    <t>WINDOW CLEANING WORK CARRIED OUTFROM 03/04/25-01/05/25</t>
  </si>
  <si>
    <t>Plymouth</t>
  </si>
  <si>
    <t>PHS Master Spends Sheet - April 2025</t>
  </si>
  <si>
    <t>SI307509</t>
  </si>
  <si>
    <t>SI307515</t>
  </si>
  <si>
    <t>UK Point of Sale Group Ltd</t>
  </si>
  <si>
    <t>Rightcheck subscription fee for May 2025</t>
  </si>
  <si>
    <t>INV-3699</t>
  </si>
  <si>
    <t>Zone Check Test</t>
  </si>
  <si>
    <t>Hull</t>
  </si>
  <si>
    <t>Swansea</t>
  </si>
  <si>
    <t>Visual Inspection</t>
  </si>
  <si>
    <t>Taunton</t>
  </si>
  <si>
    <t>Aberdeen</t>
  </si>
  <si>
    <t>CLOSED - CN REQ</t>
  </si>
  <si>
    <t>Buchanan</t>
  </si>
  <si>
    <t>Hanley</t>
  </si>
  <si>
    <t>Fire Risk Assessment</t>
  </si>
  <si>
    <t>Temp Store Set Up</t>
  </si>
  <si>
    <t>Window Cleaning Services to Menkind Stores - 4 weeks to 09/05/25</t>
  </si>
  <si>
    <t>Travel labour and materials to replace x13 off out of date Smoke + x1 heat detector + test</t>
  </si>
  <si>
    <t>BINS Master Spends Sheet - April 2025</t>
  </si>
  <si>
    <t>Waste Managed Limited</t>
  </si>
  <si>
    <t>WM-0001705263</t>
  </si>
  <si>
    <t>1100 Litre Bin (GW+DMR) Weekly 01/06/2025 30/06/2025</t>
  </si>
  <si>
    <t>Store Consuables order SC0028</t>
  </si>
  <si>
    <t>SC0028</t>
  </si>
  <si>
    <t>GB51BNG2ABEY</t>
  </si>
  <si>
    <t>Store Consuables order SC0027 - Top Up</t>
  </si>
  <si>
    <t>SI307602</t>
  </si>
  <si>
    <t>SI307932</t>
  </si>
  <si>
    <t>SI308022</t>
  </si>
  <si>
    <t>Store Consuables order SC0028 - Top Up</t>
  </si>
  <si>
    <t>Refund for Glass Window Cleaner</t>
  </si>
  <si>
    <t>SC020265</t>
  </si>
  <si>
    <t>HANDPORTABLE RADIO for 1 month(s) from01/06/2025 to 30/06/2025</t>
  </si>
  <si>
    <t>S25911</t>
  </si>
  <si>
    <t>Retail Operations Master Spends Sheet - April 2025</t>
  </si>
  <si>
    <t>Name badges - SC0028</t>
  </si>
  <si>
    <t>brady corp - PDC BIG</t>
  </si>
  <si>
    <t>Staff Uniforms</t>
  </si>
  <si>
    <t>S20976</t>
  </si>
  <si>
    <t>May 2025 Sponsored Jobs on Indeed.com</t>
  </si>
  <si>
    <t>IEI25-00486380</t>
  </si>
  <si>
    <t>Telford</t>
  </si>
  <si>
    <t>Carry out a 5 year electrical EICR</t>
  </si>
  <si>
    <t>Camberley</t>
  </si>
  <si>
    <t>Travel labour and materials to investigate fire alarm fault and diagnose, Replace 2 x out of date low reading batteries</t>
  </si>
  <si>
    <r>
      <t xml:space="preserve">Service of Fire Alarm, Emergency Lighting and Check Fire Extinguishers + PATS x58
</t>
    </r>
    <r>
      <rPr>
        <i/>
        <sz val="10"/>
        <color theme="1"/>
        <rFont val="Arial"/>
        <family val="2"/>
      </rPr>
      <t>+ Replace 2 off back up batteries in fire panel and test.</t>
    </r>
  </si>
  <si>
    <t>Service of Fire Alarm, Emergency Lighting and Check Fire Extinguishers + PATS x44</t>
  </si>
  <si>
    <t>Cribbs</t>
  </si>
  <si>
    <r>
      <t xml:space="preserve">Service of Fire Alarm, Emergency Lighting and Check Fire Extinguishers + PATS x58
</t>
    </r>
    <r>
      <rPr>
        <i/>
        <sz val="10"/>
        <color theme="1"/>
        <rFont val="Arial"/>
        <family val="2"/>
      </rPr>
      <t>+ Replace slow reacting addressable smoke detectorProgramme and test.</t>
    </r>
  </si>
  <si>
    <t>Meadowhall</t>
  </si>
  <si>
    <t>Meadowhall Upper</t>
  </si>
  <si>
    <t>Service of Fire Alarm, Emergency Lighting and Check Fire Extinguishers + PATS x56</t>
  </si>
  <si>
    <r>
      <t xml:space="preserve">Service of Fire Alarm, Emergency Lighting and Check Fire Extinguishers + PATS x53
</t>
    </r>
    <r>
      <rPr>
        <i/>
        <sz val="10"/>
        <color theme="1"/>
        <rFont val="Arial"/>
        <family val="2"/>
      </rPr>
      <t>+ Replace 5 x out of date slow reacting smoke detectors + 1 x slow reacting heat detector</t>
    </r>
  </si>
  <si>
    <t>Service of Fire Alarm, Emergency Lighting and Check Fire Extinguishers + PATS x78</t>
  </si>
  <si>
    <t>Service of Fire Alarm, Emergency Lighting and Check Fire Extinguishers + PATS x62</t>
  </si>
  <si>
    <t>Maidstone</t>
  </si>
  <si>
    <t>Carry out EICR electrical remedial</t>
  </si>
  <si>
    <t>Windows cleaned in April</t>
  </si>
  <si>
    <t>Chew Valley Ltd- T/a Approved Window Cleaning</t>
  </si>
  <si>
    <t>SI-27198</t>
  </si>
  <si>
    <t>Windows cleaned in March</t>
  </si>
  <si>
    <t>SI-27115</t>
  </si>
  <si>
    <t>Bracknell closed - Overcharged</t>
  </si>
  <si>
    <t>SI-26006</t>
  </si>
  <si>
    <t>Being checked</t>
  </si>
  <si>
    <t>SI-27325</t>
  </si>
  <si>
    <t>Windows cleaned in March 2024</t>
  </si>
  <si>
    <t>SI-27037</t>
  </si>
  <si>
    <t>SI-26809</t>
  </si>
  <si>
    <t>SI-26715</t>
  </si>
  <si>
    <t>SI-26575</t>
  </si>
  <si>
    <t>SI-26483</t>
  </si>
  <si>
    <t>Windows cleaned in May 2025</t>
  </si>
  <si>
    <t>Windows cleaned to various locations Jan and Feb 2025</t>
  </si>
  <si>
    <t>Windows cleaned in December 2024</t>
  </si>
  <si>
    <t>Windows cleaned Oct and Nov 2024</t>
  </si>
  <si>
    <t>Windows cleaned in August and September 2024</t>
  </si>
  <si>
    <t>Windows cleaned in June and July 2024</t>
  </si>
  <si>
    <t>Windows cleaned to in May 2024</t>
  </si>
  <si>
    <t>SI-26192</t>
  </si>
  <si>
    <t>Windows cleaned in April 2024</t>
  </si>
  <si>
    <t>SI-26011</t>
  </si>
  <si>
    <t>Store Consuables order SC0029</t>
  </si>
  <si>
    <t>SC0029</t>
  </si>
  <si>
    <t>GB51I15IABEY</t>
  </si>
  <si>
    <t>HANDPORTABLE RADIO for 1 month(s) from01/07/2025 to 31/07/2025</t>
  </si>
  <si>
    <t>Store Consuables order SC0029 - Name Badges x100</t>
  </si>
  <si>
    <t>Hull Centre</t>
  </si>
  <si>
    <t>1100 Litre Bin (GW+DMR) Weekly 01/07/2025 31/07/2025</t>
  </si>
  <si>
    <t>Service of Fire Alarm, Emergency Lighting and Check Fire Extinguishers + PATS x70</t>
  </si>
  <si>
    <t>Labour to reinstate fire alarm system back to standAlone, reset and test.</t>
  </si>
  <si>
    <t>Travel and labour and materials to investigate fire alarm Fault due to faults within the centre</t>
  </si>
  <si>
    <r>
      <t xml:space="preserve">Service of Fire Alarm, Emergency Lighting and Check Fire Extinguishers + PATS x60, Service of intruder alarm, 12 months 24 hours station monitoring
</t>
    </r>
    <r>
      <rPr>
        <i/>
        <sz val="10"/>
        <color theme="1"/>
        <rFont val="Arial"/>
        <family val="2"/>
      </rPr>
      <t>Replace 2 back up batteries in fire panel, battery in intruder panel and 2 smoke detc</t>
    </r>
  </si>
  <si>
    <t>Call charges</t>
  </si>
  <si>
    <t>Labour and material to set up GSM communicator for24/7 fire alarm central station</t>
  </si>
  <si>
    <t>Red 6mm Peglocks</t>
  </si>
  <si>
    <t>1st Point (2020)</t>
  </si>
  <si>
    <t>ACAS Training - Deductions from pay</t>
  </si>
  <si>
    <t>ACAS</t>
  </si>
  <si>
    <t xml:space="preserve">Staff Training </t>
  </si>
  <si>
    <t>16/24546</t>
  </si>
  <si>
    <t>Amazon Payments</t>
  </si>
  <si>
    <t>GB51LSDOABEY</t>
  </si>
  <si>
    <t xml:space="preserve">Store Opening Consumables Order - sent to Keystore (Euro Hooks + Pricing Gun Ink) </t>
  </si>
  <si>
    <t>Store Opening Equipment Order - sent to Keystore (Radios)</t>
  </si>
  <si>
    <t>GB500027VZYTRI</t>
  </si>
  <si>
    <t>Travel and labour to investigate fire alarm fault andtemporary repair several faults however diagnosefaulty fire panel to replace</t>
  </si>
  <si>
    <t>Travel to and labour to check operation on Fire AlarmSystem, Replace 2 x back up batteries</t>
  </si>
  <si>
    <t>Redditch</t>
  </si>
  <si>
    <t>Glasgow Fort</t>
  </si>
  <si>
    <t>AC Annual Service - 6 monthly</t>
  </si>
  <si>
    <t>B-Dacs</t>
  </si>
  <si>
    <t>INV-11660</t>
  </si>
  <si>
    <t>Store Opening Consuables Order - Name Badges x300</t>
  </si>
  <si>
    <t>S21226</t>
  </si>
  <si>
    <t>Store Opening Consumables Order - Red 6mm Peglocks + Security Detachers</t>
  </si>
  <si>
    <t>Fire Risk Assessment + Extinguisher ID signs</t>
  </si>
  <si>
    <t>Fire Risk Assessment, PATs, Fire Extinguisher Service + Extinguisher ID signs</t>
  </si>
  <si>
    <t>Birmingham</t>
  </si>
  <si>
    <t>Fire Risk Assessment + PATs</t>
  </si>
  <si>
    <t>Quarterly loan charge for period ending June 2025 for safes at 37 locations</t>
  </si>
  <si>
    <t>QUARTERLY CHARGE FOR RADIOIN MANCHESTER from 1st July</t>
  </si>
  <si>
    <t>Store Opening Consumables Order - Sale Was/Now stickers</t>
  </si>
  <si>
    <t>Morplan Ltd</t>
  </si>
  <si>
    <t>WINDOW CLEANING WORK CARRIED OUTFROM 31/05/2025- 28/06/2025</t>
  </si>
  <si>
    <t>SI308628</t>
  </si>
  <si>
    <t>Store Consuables order SC0029 - Light Duty Cutting Knives</t>
  </si>
  <si>
    <t>SI308620</t>
  </si>
  <si>
    <t>Store Opening Consuables Order - Light Duty Cutting Knives</t>
  </si>
  <si>
    <t>SI309135</t>
  </si>
  <si>
    <t>Store Consuables order SC0029 - Rechargable batteries</t>
  </si>
  <si>
    <t>SI309148</t>
  </si>
  <si>
    <t>Store Opening Consuables Order</t>
  </si>
  <si>
    <t>SI309054</t>
  </si>
  <si>
    <t>Rightcheck subscription fee for July 2025</t>
  </si>
  <si>
    <t>INV-3914</t>
  </si>
  <si>
    <t>3 months of access to SameSystem 60 Depts 01.07.2025 - 30.09.2025</t>
  </si>
  <si>
    <t>TP Health Limited t/a Optima Health</t>
  </si>
  <si>
    <t>Initial Video OHA (Referral) OHD 8728 INV</t>
  </si>
  <si>
    <t>Health Insurance</t>
  </si>
  <si>
    <t>Large Loop S Joining Hook (Wire) - For Clip Strips (HJ)</t>
  </si>
  <si>
    <t>Store Opening Consuables Order - A4 + A5 Acrylics</t>
  </si>
  <si>
    <t>Shelf Strips for Refurb Opening - Bluewater</t>
  </si>
  <si>
    <t>Store Opening Consuables Order - Red security cash bags and security tags</t>
  </si>
  <si>
    <t>Viking Direct</t>
  </si>
  <si>
    <t xml:space="preserve">Credit - FMI1235076 - charged after termination </t>
  </si>
  <si>
    <t>First Mile Limited</t>
  </si>
  <si>
    <t>FMI1270943</t>
  </si>
  <si>
    <t>For services up to 31/05</t>
  </si>
  <si>
    <t>FMI1235076</t>
  </si>
  <si>
    <t>Credit note for Chelmsford issued on FMI1270943</t>
  </si>
  <si>
    <t>For services up to 30/06</t>
  </si>
  <si>
    <t>FMI1246261</t>
  </si>
  <si>
    <t>For services up to 31/07</t>
  </si>
  <si>
    <t>FMI1258759</t>
  </si>
  <si>
    <t>Windows cleaned to various locations in June 25</t>
  </si>
  <si>
    <t>SI-27362</t>
  </si>
  <si>
    <t>Overcharged for Bracknell STILL</t>
  </si>
  <si>
    <t xml:space="preserve">Sanitary Disposal + Duty of Care 14/08/2025 to 13/08/2026 </t>
  </si>
  <si>
    <t>Newcastle closed - awaiting credit note</t>
  </si>
  <si>
    <t>Sanitary Disposal 14/08/2025 to 13/08/2026</t>
  </si>
  <si>
    <t xml:space="preserve">Sanitary Disposal 14/08/2025 to 13/08/2026 </t>
  </si>
  <si>
    <t>Livingston</t>
  </si>
  <si>
    <t xml:space="preserve">Sanitary Disposal 22/07/2025 to 20/10/2025 </t>
  </si>
  <si>
    <t>Liverpool</t>
  </si>
  <si>
    <t xml:space="preserve"> Sanitary Disposal 21/05/2025 to 13/08/2025</t>
  </si>
  <si>
    <t xml:space="preserve">Duty Of Care 28/05/2025 to 20/10/2025 </t>
  </si>
  <si>
    <t>Cwmbran</t>
  </si>
  <si>
    <t>Duty Of Care 23/07/2025 to 20/10/2025</t>
  </si>
  <si>
    <t>Sanitary Disposal 01/07/2025 to 20/10/2025</t>
  </si>
  <si>
    <t>Store Consuables order SC0029a - Top up order</t>
  </si>
  <si>
    <t>SI309225</t>
  </si>
  <si>
    <t>GB51N6YZABEY</t>
  </si>
  <si>
    <t>Store Opening Equipment Order - sent to Keystore (Self-Adhesive Shelf Strips)</t>
  </si>
  <si>
    <t xml:space="preserve">Store Opening Equipment Order - sent to Keystore (Extension Leads + USB Hubs) </t>
  </si>
  <si>
    <t>Service of Fire Alarm, Emergency Lighting and Check Fire Extinguishers + PATS x33</t>
  </si>
  <si>
    <t>Store Opening Equipment - Supply 15 off 6L water fire extinguishers @ £46 eachs per quote</t>
  </si>
  <si>
    <t>1 x ADSL Premium Install + 1 x Draytek 2865AX</t>
  </si>
  <si>
    <t>Blackpool</t>
  </si>
  <si>
    <t>Window Cleaning Services to Menkind Stores - 4 weeks to 04/07/25</t>
  </si>
  <si>
    <t>HANDPORTABLE RADIO for 1 month(s) from01/08/2025 to 31/08/2025,</t>
  </si>
  <si>
    <t>S26324</t>
  </si>
  <si>
    <t>CHARGE FOR RADIO UPTO 30/09</t>
  </si>
  <si>
    <t>WINDOW CLEANING WORK CARRIED OUTFROM 29/06/2025-27/07/2025</t>
  </si>
  <si>
    <t>SC0029a</t>
  </si>
  <si>
    <t>SI309368</t>
  </si>
  <si>
    <t>SI309367</t>
  </si>
  <si>
    <t>Store Opening Equipment Order - sent to Keystore (Acrylic Bookstands, Bridges and Hooks)</t>
  </si>
  <si>
    <t>Clear Window for Ikea Kallax (Front&amp;Back) for Store Openings</t>
  </si>
  <si>
    <t>Wicked Brick Ltd</t>
  </si>
  <si>
    <t>INV-2819</t>
  </si>
  <si>
    <t>Labour to investigate fire alarm fault, silence bells throughout, reset fire curtain and remove fire signal</t>
  </si>
  <si>
    <t>Labour to investigate addressable fire alarm fault andCarry out several power cycles with the fire panel andAssociated PSU,s</t>
  </si>
  <si>
    <t>Travel and labour to investigate fire alarm fault andDiagnose service lockout, reset panel and test</t>
  </si>
  <si>
    <t>Rightcheck subscription fee for August 2025</t>
  </si>
  <si>
    <t>INV-3972</t>
  </si>
  <si>
    <t>NO TOILET ON SITE - Awaiting credit note</t>
  </si>
  <si>
    <t>Credits relate to invoice(s) 71466546.
Duty Of Care 23/07/2025 to 19/08/2025</t>
  </si>
  <si>
    <t>Credits relate to invoice(s) 71466546.
Duty Of Care 20/08/2025 to 20/10/2025</t>
  </si>
  <si>
    <t>Credit note for 71466546</t>
  </si>
  <si>
    <t>Gateshead</t>
  </si>
  <si>
    <t xml:space="preserve">Annual Duty Of Care 01/10/2025 to 30/09/2026 </t>
  </si>
  <si>
    <t>Glasgow Silverburn</t>
  </si>
  <si>
    <t>Aberdeen Bon Accord</t>
  </si>
  <si>
    <t>Glasgow Braehead</t>
  </si>
  <si>
    <t>Leicester</t>
  </si>
  <si>
    <t>Window Cleaning Services to Menkind Stores: 4 week service up to 06/06/25 + 8 week services</t>
  </si>
  <si>
    <t>Windows cleaned July 2025</t>
  </si>
  <si>
    <t>SI-27582</t>
  </si>
  <si>
    <t>Credit Note for Bracknell</t>
  </si>
  <si>
    <t>SCN-53</t>
  </si>
  <si>
    <t>Thermal Rolls for PDQ's - CB</t>
  </si>
  <si>
    <t>GB51R5DNABEY</t>
  </si>
  <si>
    <t>Head Office Consumables</t>
  </si>
  <si>
    <t>GB51VHK3ABEY</t>
  </si>
  <si>
    <t>Ethernet Switch Hub for Internet Changeovers</t>
  </si>
  <si>
    <t>Headphones for office use</t>
  </si>
  <si>
    <t>HANDPORTABLE RADIO for 1 month(s) from01/09/2025 to 30/09/2025</t>
  </si>
  <si>
    <t>S26551</t>
  </si>
  <si>
    <t>S26549</t>
  </si>
  <si>
    <t>S26499</t>
  </si>
  <si>
    <t>M001 38</t>
  </si>
  <si>
    <t>Regular charges, One-off charges and credits &amp; Discounts</t>
  </si>
  <si>
    <t>Call out to attend site, Labour to investigate fire alarm fault and diagnoseFaulty detector above ceiling and remote indicatorIn back of shop, check system reset for now for Return visit.</t>
  </si>
  <si>
    <t>Call out to attend site. Travel and labour to investigate fire alarm fault due To bells continuously sounding after sprinkler test By others, disconnect mains, PSUs and all back up</t>
  </si>
  <si>
    <t>Service of Fire Alarm, Emergency Lighting and Check Fire Extinguishers + PATS x50</t>
  </si>
  <si>
    <t>Labour and materials to diagnose fire fault and replaceRemote indicator and smoke detector and test at backOf shop and above ceiling and replace faulty emergencyLight</t>
  </si>
  <si>
    <t>Service of Fire Alarm, Emergency Lighting and Check Fire Extinguishers + PATS x48, Service of intruder alarm, 12 months 24 hours station monitoring</t>
  </si>
  <si>
    <t>Labour and materials to replace addressable fire alarm panel complete with PSUs, input/output units and zone module units as per budget quote</t>
  </si>
  <si>
    <t>For Services Up To 31/08</t>
  </si>
  <si>
    <t>FMI1272463</t>
  </si>
  <si>
    <t>Impress Promotions Surrey Ltd</t>
  </si>
  <si>
    <t>Store Consumables Order SC0029a - Staff Uniform</t>
  </si>
  <si>
    <t>Staff Sweatshirts</t>
  </si>
  <si>
    <t xml:space="preserve">Store Consumables Order SC0029a - Self Adhesive Shelf Strips </t>
  </si>
  <si>
    <t>Planova Leeds Ltd</t>
  </si>
  <si>
    <t>IN115188</t>
  </si>
  <si>
    <t>IN115125</t>
  </si>
  <si>
    <t>WINDOW CLEANING WORK CARRIED OUTFROM 28/07/2025- 25/08/2025</t>
  </si>
  <si>
    <t>SI309940</t>
  </si>
  <si>
    <t>Store Consumables Top Up Order SC0029a - Multi-purpose cloths</t>
  </si>
  <si>
    <t>Store Consumables Top Up Order SC0029a - Light Duty Cutters</t>
  </si>
  <si>
    <t>SI309751</t>
  </si>
  <si>
    <t>Rightcheck subscription fee for September 2025</t>
  </si>
  <si>
    <t>INV-4109</t>
  </si>
  <si>
    <t xml:space="preserve">Store Opening Consumables Order - Self Adhesive Shelf Strips </t>
  </si>
  <si>
    <t>1100 Litre Bin (GW+DMR) Weekly 01/08/2025 31/08/2025</t>
  </si>
  <si>
    <t>WM-0001819927</t>
  </si>
  <si>
    <t>1100 Litre Bin (GW+DMR) Weekly 01/09/2025 30/09/2025</t>
  </si>
  <si>
    <t>WM-0001883778</t>
  </si>
  <si>
    <t>Credit Note</t>
  </si>
  <si>
    <t>Credit note for September Invoice WM-0001883778</t>
  </si>
  <si>
    <t>WM-0001893434</t>
  </si>
  <si>
    <t>WM-0001893435</t>
  </si>
  <si>
    <t>Credit note for August Invoice WM-0001819927</t>
  </si>
  <si>
    <t>Store Opening Consumables Order - Rechargable batteries</t>
  </si>
  <si>
    <t>Store Opening Consumables Order - Walkie Talkies</t>
  </si>
  <si>
    <t>GB50006FVZYTRI</t>
  </si>
  <si>
    <t>Store Consumables Order - Light Duty Cutting Knives x80</t>
  </si>
  <si>
    <t>Store Consumables Order - Light Duty Cutting Knives x160</t>
  </si>
  <si>
    <t>SI310804</t>
  </si>
  <si>
    <t xml:space="preserve">Remedial works following AC service </t>
  </si>
  <si>
    <t>S26659</t>
  </si>
  <si>
    <t xml:space="preserve">Window cleaning services to Menkind Stores: 4 weeks + 8wk to 01/08/25 </t>
  </si>
  <si>
    <t>AC Service</t>
  </si>
  <si>
    <t>S26667</t>
  </si>
  <si>
    <t>Travel and labour to investigate potential fire alarmFault due to beeping, check system and make sureAll re-set</t>
  </si>
  <si>
    <t>Merry Hill</t>
  </si>
  <si>
    <t>Water Risk Assesment</t>
  </si>
  <si>
    <t>Brodex Trident Environmental Services</t>
  </si>
  <si>
    <t>Chlorination - Store Opening</t>
  </si>
  <si>
    <t>GB50007IVZYTRI</t>
  </si>
  <si>
    <t>GB50007JVZYTRI</t>
  </si>
  <si>
    <t>Store Opening Consumables Order - Pricing Gun Ink</t>
  </si>
  <si>
    <t>GB5002OV1KM79I</t>
  </si>
  <si>
    <t>Store Opening Consumables Order - Keyring Detacher</t>
  </si>
  <si>
    <t>SC0031</t>
  </si>
  <si>
    <t>Store Consumables Order - Euro Hooks</t>
  </si>
  <si>
    <t>GB5292QAABEY</t>
  </si>
  <si>
    <t>GB528VLPABEY</t>
  </si>
  <si>
    <t>HANDPORTABLE RADIO for 1 month(s) from01/10/2025 to 31/10/2025</t>
  </si>
  <si>
    <t>Store Opening Equipment Order - USB Hubs</t>
  </si>
  <si>
    <t>British Telecommunications plc / BT</t>
  </si>
  <si>
    <t>M001 E3</t>
  </si>
  <si>
    <t>M001 3K</t>
  </si>
  <si>
    <t>Regular charges + One-off charges and credits</t>
  </si>
  <si>
    <t>M002 74</t>
  </si>
  <si>
    <t>M003 BG</t>
  </si>
  <si>
    <t>M002 IV</t>
  </si>
  <si>
    <t>Basingstoke</t>
  </si>
  <si>
    <t>Fire Risk Assessment + Fire Extinguisher Service x3</t>
  </si>
  <si>
    <t>Edinburgh</t>
  </si>
  <si>
    <t>Fire Risk Assessment + Fire Extinguisher Service x6, PATs + Signage</t>
  </si>
  <si>
    <t>Stirling</t>
  </si>
  <si>
    <t>Fire Risk Assessment + Fire Extinguisher Service x8, PATs + Water Extinguisher</t>
  </si>
  <si>
    <t>Fire Risk Assessment + Fire Extinguisher Service x3, Signage + CO2 Extinguisher</t>
  </si>
  <si>
    <t>Solihull</t>
  </si>
  <si>
    <t>Doncaster</t>
  </si>
  <si>
    <t>HANDPORTABLE RADIO for 1 month(s) from01/11/2025 to 30/11/2025</t>
  </si>
  <si>
    <t>Store Consumables order SC0025</t>
  </si>
  <si>
    <t>Store Consumables order SC0026 - extra batteries</t>
  </si>
  <si>
    <t>Store Consumables order SC0026 - extrablutac / sticky putty</t>
  </si>
  <si>
    <t>Store Consumables order SC0026 -  light duty cutting knives</t>
  </si>
  <si>
    <t>Store Consumables order SC0027</t>
  </si>
  <si>
    <t>Braehead</t>
  </si>
  <si>
    <t>Sanitary Disposal 31/10/2025 to 20/10/2026</t>
  </si>
  <si>
    <t>Sanitary Disposal 05/11/2025 to 20/10/2026</t>
  </si>
  <si>
    <t>Sanitary Disposal 27/11/2025 to 20/10/2026</t>
  </si>
  <si>
    <t>Annual Mat Service</t>
  </si>
  <si>
    <t>Worcester</t>
  </si>
  <si>
    <t>Glasgow Buchanan</t>
  </si>
  <si>
    <t>Service PATS x26
Replace 3 off slow reacting addressable smoke detectors programme and test
Replace 2 off back up batteries in fire panel and test</t>
  </si>
  <si>
    <t>Travel, labour and materials to install grade 2 monitored Intruder alarm system test commission and certification central station set up fee
Central station connection feetest signals to ARCLabour and materials to install GSM communicator and 12 months 24 hour central station monitoring</t>
  </si>
  <si>
    <t>Travel and labour to investigate fire alarm fault causingsounder to omit high level beep and diagnosed inputbeing put into class change relay caused by other due tonew house fire alarm being fitted, disconnected for nowto cure fault until main house fire alarm fault resolved byothers</t>
  </si>
  <si>
    <t>27/28/10/2025</t>
  </si>
  <si>
    <t>Service of Fire Alarm, Emergency Lighting and Check Fire Extinguishers + PATS x58
12 months service of intruder alarm. 12 months of 24 hr central station monitoring</t>
  </si>
  <si>
    <t>Guildford</t>
  </si>
  <si>
    <t>PATs x32</t>
  </si>
  <si>
    <t>Gloucester Quays</t>
  </si>
  <si>
    <t>Portable Appliance Testing</t>
  </si>
  <si>
    <t>York Centre</t>
  </si>
  <si>
    <t>Portable Appliance Testing
Portable Appliance Testing - up to 50 items</t>
  </si>
  <si>
    <r>
      <t xml:space="preserve">Service of Fire Alarm, Emergency Lighting and Check Fire Extinguishers + PATS x51
</t>
    </r>
    <r>
      <rPr>
        <i/>
        <sz val="10"/>
        <color theme="1"/>
        <rFont val="Arial"/>
        <family val="2"/>
      </rPr>
      <t>Replace 3x failed emergency lights in basement corridor + 2x faulty smoke detectors</t>
    </r>
  </si>
  <si>
    <r>
      <t xml:space="preserve">Service of Fire Alarm, Emergency Lighting and Check Fire Extinguishers + PATS x42
</t>
    </r>
    <r>
      <rPr>
        <i/>
        <sz val="10"/>
        <color theme="1"/>
        <rFont val="Arial"/>
        <family val="2"/>
      </rPr>
      <t>Replace 2 off back up batteries in fire panel and test</t>
    </r>
  </si>
  <si>
    <r>
      <t xml:space="preserve">Service of Fire Alarm, Emergency Lighting and Check Fire Extinguishers + PATS x58
12 months service of intruder alarm. 12 months of 24 hr central station monitoring
</t>
    </r>
    <r>
      <rPr>
        <i/>
        <sz val="10"/>
        <color theme="1"/>
        <rFont val="Arial"/>
        <family val="2"/>
      </rPr>
      <t>Replace 2 faulty emergency lights LED</t>
    </r>
  </si>
  <si>
    <r>
      <t xml:space="preserve">Service of Fire Alarm, Emergency Lighting and Check Fire Extinguishers + PATS x62
12 months service of intruder alarm. 12 months of 24 hr central station monitoring
</t>
    </r>
    <r>
      <rPr>
        <i/>
        <sz val="10"/>
        <color theme="1"/>
        <rFont val="Arial"/>
        <family val="2"/>
      </rPr>
      <t>Replace 3x faulty/slow reacting smoke detectors and test</t>
    </r>
  </si>
  <si>
    <t>Safe Installation</t>
  </si>
  <si>
    <t>S26995</t>
  </si>
  <si>
    <t>WINDOW CLEANING WORK CARRIED OUTFROM 26/08/2025- 23/09/2025</t>
  </si>
  <si>
    <t>WINDOW CLEANING WORK CARRIED OUTFROM 24/09/2025- 22/10/2025</t>
  </si>
  <si>
    <t>WINDOW CLEANING WORK CARRIED OUTFROM 23/10/2025- 20/11/2025</t>
  </si>
  <si>
    <r>
      <t xml:space="preserve">Service of Fire Alarm, Emergency Lighting and Check Fire Extinguishers + PATS x58
12 months service of intruder alarm. 12 months of 24 hr central station monitoring
</t>
    </r>
    <r>
      <rPr>
        <i/>
        <sz val="10"/>
        <color theme="1"/>
        <rFont val="Arial"/>
        <family val="2"/>
      </rPr>
      <t>Replace 2x faulty emergency lighting and test</t>
    </r>
  </si>
  <si>
    <t>Travel labour and to investigate fire alarm fault on zone one
Call out to attend site
Labour and materials to replace one off high level oldgent and 2 out of date smoke detectors</t>
  </si>
  <si>
    <t>Call out to attend site
Invesatigate fire alarm alongside centre</t>
  </si>
  <si>
    <t>Call out to attend site
Labour and materials to investigate fire alarm fault (2 engineers)</t>
  </si>
  <si>
    <t>OOH Call out to site
OOH labour to investigate fire alarm fault</t>
  </si>
  <si>
    <t>Bleed Zone Check</t>
  </si>
  <si>
    <t>For Services up to 30/11/2025</t>
  </si>
  <si>
    <t>FMI1313222</t>
  </si>
  <si>
    <t>For Services up to 30/09/2025</t>
  </si>
  <si>
    <t>FMI1284391</t>
  </si>
  <si>
    <t>For Services up to 31/10/2025</t>
  </si>
  <si>
    <t>FMI1298932</t>
  </si>
  <si>
    <t>1100 Litre Bin (GW+DMR) Weekly 01/10/2025 31/10/2025</t>
  </si>
  <si>
    <t>WM-0001939887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</si>
</sst>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quot;£&quot;#,##0.00"/>
  </numFmts>
  <fonts count="18" x14ac:knownFonts="1">
    <font>
      <sz val="11"/>
      <color theme="1"/>
      <name val="Calibri"/>
      <family val="2"/>
      <scheme val="minor"/>
    </font>
    <font>
      <sz val="12"/>
      <color theme="1"/>
      <name val="Arial"/>
      <family val="2"/>
    </font>
    <font>
      <b/>
      <sz val="11"/>
      <name val="Arial"/>
      <family val="2"/>
    </font>
    <font>
      <sz val="11"/>
      <name val="Arial"/>
      <family val="2"/>
    </font>
    <font>
      <sz val="8"/>
      <name val="Calibri"/>
      <family val="2"/>
      <scheme val="minor"/>
    </font>
    <font>
      <sz val="12"/>
      <name val="Arial"/>
      <family val="2"/>
    </font>
    <font>
      <sz val="11"/>
      <color theme="1"/>
      <name val="Calibri"/>
      <family val="2"/>
      <scheme val="minor"/>
    </font>
    <font>
      <b/>
      <sz val="12"/>
      <name val="Arial"/>
      <family val="2"/>
    </font>
    <font>
      <sz val="10"/>
      <color theme="1"/>
      <name val="Arial"/>
      <family val="2"/>
    </font>
    <font>
      <b/>
      <sz val="10"/>
      <name val="Arial"/>
      <family val="2"/>
    </font>
    <font>
      <sz val="10"/>
      <name val="Arial"/>
      <family val="2"/>
    </font>
    <font>
      <b/>
      <sz val="11"/>
      <color theme="1"/>
      <name val="Calibri"/>
      <family val="2"/>
      <scheme val="minor"/>
    </font>
    <font>
      <b/>
      <sz val="10"/>
      <color theme="1"/>
      <name val="Calibri"/>
      <family val="2"/>
      <scheme val="minor"/>
    </font>
    <font>
      <sz val="10"/>
      <color theme="1"/>
      <name val="Calibri"/>
      <family val="2"/>
      <scheme val="minor"/>
    </font>
    <font>
      <sz val="12"/>
      <color theme="1"/>
      <name val="Calibri"/>
      <family val="2"/>
      <scheme val="minor"/>
    </font>
    <font>
      <i/>
      <sz val="10"/>
      <color theme="1"/>
      <name val="Arial"/>
      <family val="2"/>
    </font>
    <font>
      <sz val="10"/>
      <color theme="1"/>
      <name val="Arial"/>
      <family val="2"/>
    </font>
    <font>
      <sz val="10"/>
      <color rgb="FF212529"/>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9" tint="0.79998168889431442"/>
        <bgColor indexed="64"/>
      </patternFill>
    </fill>
  </fills>
  <borders count="9">
    <border>
      <left/>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s>
  <cellStyleXfs count="2">
    <xf numFmtId="0" fontId="0" fillId="0" borderId="0"/>
    <xf numFmtId="44" fontId="6" fillId="0" borderId="0" applyFont="0" applyFill="0" applyBorder="0" applyAlignment="0" applyProtection="0"/>
  </cellStyleXfs>
  <cellXfs count="58">
    <xf numFmtId="0" fontId="0" fillId="0" borderId="0" xfId="0"/>
    <xf numFmtId="0" fontId="1" fillId="0" borderId="0" xfId="0" applyFont="1" applyAlignment="1">
      <alignment horizontal="center" vertical="center"/>
    </xf>
    <xf numFmtId="14" fontId="2" fillId="0" borderId="0" xfId="0" applyNumberFormat="1" applyFont="1" applyAlignment="1">
      <alignment horizontal="center" vertical="center"/>
    </xf>
    <xf numFmtId="0" fontId="2" fillId="0" borderId="0" xfId="0" applyFont="1" applyAlignment="1">
      <alignment horizontal="center" vertical="center"/>
    </xf>
    <xf numFmtId="164" fontId="2" fillId="0" borderId="0" xfId="0" applyNumberFormat="1" applyFont="1" applyAlignment="1">
      <alignment horizontal="center" vertical="center"/>
    </xf>
    <xf numFmtId="49" fontId="2" fillId="0" borderId="0" xfId="0" applyNumberFormat="1" applyFont="1" applyAlignment="1">
      <alignment horizontal="center" vertical="center"/>
    </xf>
    <xf numFmtId="0" fontId="3" fillId="0" borderId="0" xfId="0" applyFont="1" applyAlignment="1">
      <alignment horizontal="center" vertical="center"/>
    </xf>
    <xf numFmtId="0" fontId="5" fillId="0" borderId="0" xfId="0" applyFont="1" applyAlignment="1">
      <alignment horizontal="center" vertical="center"/>
    </xf>
    <xf numFmtId="14" fontId="7" fillId="0" borderId="0" xfId="0" applyNumberFormat="1" applyFont="1" applyAlignment="1">
      <alignment horizontal="center" vertical="center"/>
    </xf>
    <xf numFmtId="0" fontId="7" fillId="0" borderId="0" xfId="0" applyFont="1" applyAlignment="1">
      <alignment horizontal="center" vertical="center"/>
    </xf>
    <xf numFmtId="49" fontId="7" fillId="0" borderId="0" xfId="0" applyNumberFormat="1" applyFont="1" applyAlignment="1">
      <alignment horizontal="center" vertical="center"/>
    </xf>
    <xf numFmtId="164" fontId="7" fillId="0" borderId="0" xfId="1" applyNumberFormat="1" applyFont="1" applyAlignment="1">
      <alignment horizontal="center" vertical="center"/>
    </xf>
    <xf numFmtId="0" fontId="8" fillId="0" borderId="0" xfId="0" applyFont="1" applyAlignment="1">
      <alignment horizontal="center" vertical="center" wrapText="1"/>
    </xf>
    <xf numFmtId="0" fontId="1" fillId="0" borderId="0" xfId="0" applyFont="1" applyAlignment="1">
      <alignment horizontal="center" vertical="center" wrapText="1"/>
    </xf>
    <xf numFmtId="164" fontId="1" fillId="0" borderId="0" xfId="1" applyNumberFormat="1" applyFont="1" applyAlignment="1">
      <alignment horizontal="center" vertical="center"/>
    </xf>
    <xf numFmtId="0" fontId="8" fillId="0" borderId="0" xfId="0" applyFont="1" applyAlignment="1">
      <alignment horizontal="center" vertical="center"/>
    </xf>
    <xf numFmtId="0" fontId="7" fillId="0" borderId="0" xfId="0" applyFont="1" applyAlignment="1">
      <alignment horizontal="center" vertical="center" wrapText="1"/>
    </xf>
    <xf numFmtId="0" fontId="9" fillId="0" borderId="0" xfId="0" applyFont="1" applyAlignment="1">
      <alignment horizontal="center" vertical="center"/>
    </xf>
    <xf numFmtId="0" fontId="10" fillId="0" borderId="0" xfId="0" applyFont="1" applyAlignment="1">
      <alignment horizontal="center" vertical="center"/>
    </xf>
    <xf numFmtId="14" fontId="9" fillId="0" borderId="0" xfId="0" applyNumberFormat="1" applyFont="1" applyAlignment="1">
      <alignment horizontal="center" vertical="center"/>
    </xf>
    <xf numFmtId="164" fontId="9" fillId="0" borderId="0" xfId="0" applyNumberFormat="1" applyFont="1" applyAlignment="1">
      <alignment horizontal="center" vertical="center"/>
    </xf>
    <xf numFmtId="14" fontId="8" fillId="0" borderId="0" xfId="0" applyNumberFormat="1" applyFont="1" applyAlignment="1">
      <alignment horizontal="center" vertical="center"/>
    </xf>
    <xf numFmtId="164" fontId="8" fillId="0" borderId="0" xfId="0" applyNumberFormat="1" applyFont="1" applyAlignment="1">
      <alignment horizontal="center" vertical="center"/>
    </xf>
    <xf numFmtId="0" fontId="9" fillId="0" borderId="0" xfId="0" applyFont="1" applyAlignment="1">
      <alignment horizontal="center" vertical="center" wrapText="1"/>
    </xf>
    <xf numFmtId="14" fontId="9" fillId="0" borderId="0" xfId="0" applyNumberFormat="1" applyFont="1" applyAlignment="1">
      <alignment horizontal="center" vertical="center" wrapText="1"/>
    </xf>
    <xf numFmtId="164" fontId="9" fillId="0" borderId="0" xfId="0" applyNumberFormat="1" applyFont="1" applyAlignment="1">
      <alignment horizontal="center" vertical="center" wrapText="1"/>
    </xf>
    <xf numFmtId="49" fontId="9" fillId="0" borderId="0" xfId="0" applyNumberFormat="1" applyFont="1" applyAlignment="1">
      <alignment horizontal="center" vertical="center" wrapText="1"/>
    </xf>
    <xf numFmtId="0" fontId="10" fillId="0" borderId="0" xfId="0" applyFont="1" applyAlignment="1">
      <alignment horizontal="center" vertical="center" wrapText="1"/>
    </xf>
    <xf numFmtId="0" fontId="8" fillId="0" borderId="0" xfId="0" applyFont="1" applyAlignment="1">
      <alignment horizontal="center"/>
    </xf>
    <xf numFmtId="0" fontId="11" fillId="0" borderId="4" xfId="0" applyFont="1" applyBorder="1" applyAlignment="1">
      <alignment horizontal="left"/>
    </xf>
    <xf numFmtId="0" fontId="13" fillId="0" borderId="0" xfId="0" applyFont="1" applyAlignment="1">
      <alignment horizontal="center" vertical="center"/>
    </xf>
    <xf numFmtId="0" fontId="13" fillId="0" borderId="0" xfId="0" applyFont="1" applyAlignment="1">
      <alignment horizontal="left" vertical="center"/>
    </xf>
    <xf numFmtId="0" fontId="14" fillId="0" borderId="0" xfId="0" applyFont="1" applyAlignment="1">
      <alignment horizontal="center" vertical="center"/>
    </xf>
    <xf numFmtId="0" fontId="0" fillId="0" borderId="4" xfId="0" applyBorder="1" applyAlignment="1">
      <alignment horizontal="left"/>
    </xf>
    <xf numFmtId="49" fontId="0" fillId="0" borderId="4" xfId="0" applyNumberFormat="1" applyBorder="1" applyAlignment="1">
      <alignment horizontal="left"/>
    </xf>
    <xf numFmtId="0" fontId="0" fillId="0" borderId="4" xfId="0" applyBorder="1" applyAlignment="1">
      <alignment horizontal="left" vertical="center"/>
    </xf>
    <xf numFmtId="0" fontId="0" fillId="0" borderId="0" xfId="0" applyAlignment="1">
      <alignment horizontal="left"/>
    </xf>
    <xf numFmtId="0" fontId="0" fillId="0" borderId="4" xfId="0" applyBorder="1"/>
    <xf numFmtId="0" fontId="12" fillId="0" borderId="4" xfId="0" applyFont="1" applyBorder="1" applyAlignment="1">
      <alignment horizontal="left" vertical="center"/>
    </xf>
    <xf numFmtId="0" fontId="13" fillId="0" borderId="4" xfId="0" applyFont="1" applyBorder="1" applyAlignment="1">
      <alignment horizontal="left" vertical="center"/>
    </xf>
    <xf numFmtId="14" fontId="16" fillId="0" borderId="0" xfId="0" applyNumberFormat="1" applyFont="1" applyAlignment="1">
      <alignment horizontal="center" vertical="center"/>
    </xf>
    <xf numFmtId="14" fontId="1" fillId="0" borderId="0" xfId="0" applyNumberFormat="1" applyFont="1" applyAlignment="1">
      <alignment horizontal="center" vertical="center"/>
    </xf>
    <xf numFmtId="0" fontId="1" fillId="0" borderId="0" xfId="0" applyFont="1" applyAlignment="1">
      <alignment horizontal="left" vertical="center"/>
    </xf>
    <xf numFmtId="0" fontId="8" fillId="0" borderId="0" xfId="0" applyFont="1" applyAlignment="1">
      <alignment horizontal="left" vertical="center"/>
    </xf>
    <xf numFmtId="0" fontId="17" fillId="0" borderId="0" xfId="0" applyFont="1" applyAlignment="1">
      <alignment horizontal="center"/>
    </xf>
    <xf numFmtId="14" fontId="8" fillId="3" borderId="0" xfId="0" applyNumberFormat="1" applyFont="1" applyFill="1" applyAlignment="1">
      <alignment horizontal="center" vertical="center"/>
    </xf>
    <xf numFmtId="14" fontId="9" fillId="0" borderId="0" xfId="0" applyNumberFormat="1" applyFont="1" applyAlignment="1">
      <alignment vertical="center" wrapText="1"/>
    </xf>
    <xf numFmtId="14" fontId="10" fillId="0" borderId="0" xfId="0" applyNumberFormat="1" applyFont="1" applyAlignment="1">
      <alignment vertical="center" wrapText="1"/>
    </xf>
    <xf numFmtId="14" fontId="2" fillId="0" borderId="0" xfId="0" applyNumberFormat="1" applyFont="1" applyAlignment="1">
      <alignment vertical="center" wrapText="1"/>
    </xf>
    <xf numFmtId="0" fontId="11" fillId="0" borderId="4" xfId="0" applyFont="1" applyBorder="1" applyAlignment="1">
      <alignment horizontal="left"/>
    </xf>
    <xf numFmtId="0" fontId="0" fillId="0" borderId="5" xfId="0" applyBorder="1" applyAlignment="1">
      <alignment horizontal="left"/>
    </xf>
    <xf numFmtId="0" fontId="11" fillId="0" borderId="6" xfId="0" applyFont="1" applyBorder="1" applyAlignment="1">
      <alignment horizontal="left"/>
    </xf>
    <xf numFmtId="0" fontId="11" fillId="0" borderId="5" xfId="0" applyFont="1" applyBorder="1" applyAlignment="1">
      <alignment horizontal="left"/>
    </xf>
    <xf numFmtId="0" fontId="11" fillId="0" borderId="7" xfId="0" applyFont="1" applyBorder="1" applyAlignment="1">
      <alignment horizontal="left"/>
    </xf>
    <xf numFmtId="0" fontId="11" fillId="2" borderId="1" xfId="0" applyFont="1" applyFill="1" applyBorder="1" applyAlignment="1">
      <alignment horizontal="left"/>
    </xf>
    <xf numFmtId="0" fontId="11" fillId="2" borderId="8" xfId="0" applyFont="1" applyFill="1" applyBorder="1" applyAlignment="1">
      <alignment horizontal="left"/>
    </xf>
    <xf numFmtId="0" fontId="11" fillId="2" borderId="2" xfId="0" applyFont="1" applyFill="1" applyBorder="1" applyAlignment="1">
      <alignment horizontal="left"/>
    </xf>
    <xf numFmtId="0" fontId="0" fillId="0" borderId="3" xfId="0" applyBorder="1" applyAlignment="1">
      <alignment horizontal="left"/>
    </xf>
  </cellXfs>
  <cellStyles count="2">
    <cellStyle name="Currency" xfId="1" builtinId="4"/>
    <cellStyle name="Normal" xfId="0" builtinId="0"/>
  </cellStyles>
  <dxfs count="1">
    <dxf>
      <font>
        <color rgb="FF9C0006"/>
      </font>
      <fill>
        <patternFill>
          <bgColor rgb="FFFFC7CE"/>
        </patternFill>
      </fill>
    </dxf>
  </dxfs>
  <tableStyles count="0" defaultTableStyle="TableStyleMedium2" defaultPivotStyle="PivotStyleLight16"/>
  <colors>
    <mruColors>
      <color rgb="FFFF99FF"/>
      <color rgb="FFFF9999"/>
      <color rgb="FFCCCCFF"/>
      <color rgb="FFFFFF9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1C441-E195-4EB6-9B03-54AEA8FACE93}">
  <dimension ref="A1:N189"/>
  <sheetViews>
    <sheetView zoomScaleNormal="100" workbookViewId="0">
      <pane xSplit="2" ySplit="2" topLeftCell="C180" activePane="bottomRight" state="frozen"/>
      <selection pane="topRight" activeCell="C1" sqref="C1"/>
      <selection pane="bottomLeft" activeCell="A3" sqref="A3"/>
      <selection pane="bottomRight" activeCell="F190" sqref="F190"/>
    </sheetView>
  </sheetViews>
  <sheetFormatPr defaultColWidth="9.140625" defaultRowHeight="12.75" outlineLevelCol="1" x14ac:dyDescent="0.25"/>
  <cols>
    <col min="1" max="1" width="13" style="15" customWidth="1"/>
    <col min="2" max="2" width="16" style="15" bestFit="1" customWidth="1"/>
    <col min="3" max="3" width="50" style="12" customWidth="1"/>
    <col min="4" max="4" width="9.42578125" style="15" customWidth="1"/>
    <col min="5" max="5" width="12.28515625" style="15" customWidth="1"/>
    <col min="6" max="6" width="41.5703125" style="15" bestFit="1" customWidth="1"/>
    <col min="7" max="7" width="10.7109375" style="22" customWidth="1" outlineLevel="1"/>
    <col min="8" max="8" width="9.140625" style="22" bestFit="1" customWidth="1" outlineLevel="1"/>
    <col min="9" max="9" width="10.7109375" style="22" customWidth="1"/>
    <col min="10" max="10" width="6.140625" style="15" customWidth="1"/>
    <col min="11" max="11" width="24.7109375" style="15" bestFit="1" customWidth="1"/>
    <col min="12" max="12" width="16.85546875" style="15" customWidth="1"/>
    <col min="13" max="13" width="11.140625" style="15" customWidth="1"/>
    <col min="14" max="14" width="27.85546875" style="15" bestFit="1" customWidth="1"/>
    <col min="15" max="16384" width="9.140625" style="15"/>
  </cols>
  <sheetData>
    <row r="1" spans="1:14" s="18" customFormat="1" x14ac:dyDescent="0.25">
      <c r="A1" s="46" t="s">
        <v>253</v>
      </c>
      <c r="B1" s="46"/>
      <c r="C1" s="46"/>
      <c r="D1" s="46"/>
      <c r="E1" s="46"/>
      <c r="F1" s="46"/>
      <c r="G1" s="46"/>
      <c r="H1" s="46"/>
      <c r="I1" s="46"/>
      <c r="J1" s="46"/>
      <c r="K1" s="46"/>
      <c r="L1" s="46"/>
      <c r="M1" s="46"/>
      <c r="N1" s="17"/>
    </row>
    <row r="2" spans="1:14" s="27" customFormat="1" ht="25.5" x14ac:dyDescent="0.25">
      <c r="A2" s="24" t="s">
        <v>0</v>
      </c>
      <c r="B2" s="23" t="s">
        <v>1</v>
      </c>
      <c r="C2" s="23" t="s">
        <v>2</v>
      </c>
      <c r="D2" s="23" t="s">
        <v>3</v>
      </c>
      <c r="E2" s="24" t="s">
        <v>4</v>
      </c>
      <c r="F2" s="23" t="s">
        <v>5</v>
      </c>
      <c r="G2" s="25" t="s">
        <v>6</v>
      </c>
      <c r="H2" s="25" t="s">
        <v>7</v>
      </c>
      <c r="I2" s="25" t="s">
        <v>8</v>
      </c>
      <c r="J2" s="26" t="s">
        <v>9</v>
      </c>
      <c r="K2" s="23" t="s">
        <v>10</v>
      </c>
      <c r="L2" s="23" t="s">
        <v>11</v>
      </c>
      <c r="M2" s="24" t="s">
        <v>12</v>
      </c>
      <c r="N2" s="23" t="s">
        <v>13</v>
      </c>
    </row>
    <row r="3" spans="1:14" x14ac:dyDescent="0.25">
      <c r="A3" s="21">
        <v>45764</v>
      </c>
      <c r="B3" s="15" t="s">
        <v>26</v>
      </c>
      <c r="C3" s="12" t="s">
        <v>150</v>
      </c>
      <c r="D3" s="15" t="s">
        <v>151</v>
      </c>
      <c r="E3" s="15" t="s">
        <v>15</v>
      </c>
      <c r="F3" s="15" t="s">
        <v>38</v>
      </c>
      <c r="G3" s="22">
        <v>165.4</v>
      </c>
      <c r="H3" s="22">
        <f t="shared" ref="H3:H34" si="0">G3*0.2</f>
        <v>33.080000000000005</v>
      </c>
      <c r="I3" s="22">
        <f t="shared" ref="I3:I34" si="1">G3+H3</f>
        <v>198.48000000000002</v>
      </c>
      <c r="J3" s="15">
        <v>7530</v>
      </c>
      <c r="K3" s="15" t="s">
        <v>27</v>
      </c>
      <c r="L3" s="15" t="s">
        <v>152</v>
      </c>
      <c r="M3" s="21">
        <v>45784</v>
      </c>
    </row>
    <row r="4" spans="1:14" x14ac:dyDescent="0.25">
      <c r="A4" s="21">
        <v>45735</v>
      </c>
      <c r="B4" s="15" t="s">
        <v>61</v>
      </c>
      <c r="C4" s="12" t="s">
        <v>153</v>
      </c>
      <c r="D4" s="15" t="s">
        <v>15</v>
      </c>
      <c r="E4" s="21">
        <v>45729</v>
      </c>
      <c r="F4" s="15" t="s">
        <v>16</v>
      </c>
      <c r="G4" s="22">
        <v>280</v>
      </c>
      <c r="H4" s="22">
        <f t="shared" si="0"/>
        <v>56</v>
      </c>
      <c r="I4" s="22">
        <f t="shared" si="1"/>
        <v>336</v>
      </c>
      <c r="J4" s="15">
        <v>7800</v>
      </c>
      <c r="K4" s="15" t="s">
        <v>17</v>
      </c>
      <c r="L4" s="15" t="s">
        <v>154</v>
      </c>
      <c r="M4" s="21">
        <v>45784</v>
      </c>
    </row>
    <row r="5" spans="1:14" ht="51" x14ac:dyDescent="0.25">
      <c r="A5" s="21">
        <v>45734</v>
      </c>
      <c r="B5" s="15" t="s">
        <v>33</v>
      </c>
      <c r="C5" s="12" t="s">
        <v>170</v>
      </c>
      <c r="D5" s="15" t="s">
        <v>15</v>
      </c>
      <c r="E5" s="15" t="s">
        <v>15</v>
      </c>
      <c r="F5" s="15" t="s">
        <v>45</v>
      </c>
      <c r="G5" s="22">
        <v>99</v>
      </c>
      <c r="H5" s="22">
        <f t="shared" si="0"/>
        <v>19.8</v>
      </c>
      <c r="I5" s="22">
        <f t="shared" si="1"/>
        <v>118.8</v>
      </c>
      <c r="J5" s="15">
        <v>7570</v>
      </c>
      <c r="K5" s="15" t="s">
        <v>44</v>
      </c>
      <c r="L5" s="15">
        <v>63488</v>
      </c>
      <c r="M5" s="21">
        <v>45785</v>
      </c>
    </row>
    <row r="6" spans="1:14" x14ac:dyDescent="0.25">
      <c r="A6" s="21">
        <v>45747</v>
      </c>
      <c r="B6" s="15" t="s">
        <v>59</v>
      </c>
      <c r="C6" s="12" t="s">
        <v>28</v>
      </c>
      <c r="D6" s="15" t="s">
        <v>15</v>
      </c>
      <c r="E6" s="15" t="s">
        <v>15</v>
      </c>
      <c r="F6" s="15" t="s">
        <v>171</v>
      </c>
      <c r="G6" s="22">
        <v>195</v>
      </c>
      <c r="H6" s="22">
        <f t="shared" si="0"/>
        <v>39</v>
      </c>
      <c r="I6" s="22">
        <f t="shared" si="1"/>
        <v>234</v>
      </c>
      <c r="J6" s="15">
        <v>7800</v>
      </c>
      <c r="K6" s="15" t="s">
        <v>17</v>
      </c>
      <c r="L6" s="15">
        <v>71246</v>
      </c>
      <c r="M6" s="21">
        <v>45789</v>
      </c>
    </row>
    <row r="7" spans="1:14" x14ac:dyDescent="0.25">
      <c r="A7" s="21">
        <v>45744</v>
      </c>
      <c r="B7" s="15" t="s">
        <v>26</v>
      </c>
      <c r="C7" s="12" t="s">
        <v>518</v>
      </c>
      <c r="D7" s="15" t="s">
        <v>149</v>
      </c>
      <c r="E7" s="15" t="s">
        <v>15</v>
      </c>
      <c r="F7" s="15" t="s">
        <v>37</v>
      </c>
      <c r="G7" s="22">
        <v>122.85</v>
      </c>
      <c r="H7" s="22">
        <f t="shared" si="0"/>
        <v>24.57</v>
      </c>
      <c r="I7" s="22">
        <f t="shared" si="1"/>
        <v>147.41999999999999</v>
      </c>
      <c r="J7" s="15">
        <v>7530</v>
      </c>
      <c r="K7" s="15" t="s">
        <v>27</v>
      </c>
      <c r="L7" s="15" t="s">
        <v>172</v>
      </c>
      <c r="M7" s="21">
        <v>45789</v>
      </c>
    </row>
    <row r="8" spans="1:14" x14ac:dyDescent="0.25">
      <c r="A8" s="21">
        <v>45763</v>
      </c>
      <c r="B8" s="15" t="s">
        <v>26</v>
      </c>
      <c r="C8" s="12" t="s">
        <v>150</v>
      </c>
      <c r="D8" s="15" t="s">
        <v>151</v>
      </c>
      <c r="E8" s="15" t="s">
        <v>15</v>
      </c>
      <c r="F8" s="15" t="s">
        <v>37</v>
      </c>
      <c r="G8" s="22">
        <v>866.13</v>
      </c>
      <c r="H8" s="22">
        <f t="shared" si="0"/>
        <v>173.226</v>
      </c>
      <c r="I8" s="22">
        <f t="shared" si="1"/>
        <v>1039.356</v>
      </c>
      <c r="J8" s="15">
        <v>7530</v>
      </c>
      <c r="K8" s="15" t="s">
        <v>27</v>
      </c>
      <c r="L8" s="15" t="s">
        <v>173</v>
      </c>
      <c r="M8" s="21">
        <v>45789</v>
      </c>
    </row>
    <row r="9" spans="1:14" x14ac:dyDescent="0.25">
      <c r="A9" s="21">
        <v>45769</v>
      </c>
      <c r="B9" s="15" t="s">
        <v>26</v>
      </c>
      <c r="C9" s="12" t="s">
        <v>519</v>
      </c>
      <c r="D9" s="15" t="s">
        <v>151</v>
      </c>
      <c r="E9" s="15" t="s">
        <v>15</v>
      </c>
      <c r="F9" s="15" t="s">
        <v>37</v>
      </c>
      <c r="G9" s="22">
        <v>328.24</v>
      </c>
      <c r="H9" s="22">
        <f t="shared" si="0"/>
        <v>65.64800000000001</v>
      </c>
      <c r="I9" s="22">
        <f t="shared" si="1"/>
        <v>393.88800000000003</v>
      </c>
      <c r="J9" s="15">
        <v>7530</v>
      </c>
      <c r="K9" s="15" t="s">
        <v>27</v>
      </c>
      <c r="L9" s="15" t="s">
        <v>174</v>
      </c>
      <c r="M9" s="21">
        <v>45789</v>
      </c>
    </row>
    <row r="10" spans="1:14" ht="25.5" x14ac:dyDescent="0.25">
      <c r="A10" s="21">
        <v>45771</v>
      </c>
      <c r="B10" s="15" t="s">
        <v>26</v>
      </c>
      <c r="C10" s="12" t="s">
        <v>520</v>
      </c>
      <c r="D10" s="15" t="s">
        <v>151</v>
      </c>
      <c r="E10" s="15" t="s">
        <v>15</v>
      </c>
      <c r="F10" s="15" t="s">
        <v>37</v>
      </c>
      <c r="G10" s="22">
        <v>19.440000000000001</v>
      </c>
      <c r="H10" s="22">
        <f t="shared" si="0"/>
        <v>3.8880000000000003</v>
      </c>
      <c r="I10" s="22">
        <f t="shared" si="1"/>
        <v>23.328000000000003</v>
      </c>
      <c r="J10" s="15">
        <v>7530</v>
      </c>
      <c r="K10" s="15" t="s">
        <v>27</v>
      </c>
      <c r="L10" s="15" t="s">
        <v>175</v>
      </c>
      <c r="M10" s="21">
        <v>45789</v>
      </c>
    </row>
    <row r="11" spans="1:14" ht="25.5" x14ac:dyDescent="0.25">
      <c r="A11" s="21">
        <v>45763</v>
      </c>
      <c r="B11" s="15" t="s">
        <v>26</v>
      </c>
      <c r="C11" s="12" t="s">
        <v>521</v>
      </c>
      <c r="D11" s="15" t="s">
        <v>151</v>
      </c>
      <c r="E11" s="15" t="s">
        <v>15</v>
      </c>
      <c r="F11" s="15" t="s">
        <v>37</v>
      </c>
      <c r="G11" s="22">
        <v>25.44</v>
      </c>
      <c r="H11" s="22">
        <f t="shared" si="0"/>
        <v>5.088000000000001</v>
      </c>
      <c r="I11" s="22">
        <f t="shared" si="1"/>
        <v>30.528000000000002</v>
      </c>
      <c r="J11" s="15">
        <v>7530</v>
      </c>
      <c r="K11" s="15" t="s">
        <v>27</v>
      </c>
      <c r="L11" s="15" t="s">
        <v>176</v>
      </c>
      <c r="M11" s="21">
        <v>45790</v>
      </c>
    </row>
    <row r="12" spans="1:14" x14ac:dyDescent="0.25">
      <c r="A12" s="21">
        <v>45755</v>
      </c>
      <c r="B12" s="15" t="s">
        <v>33</v>
      </c>
      <c r="C12" s="12" t="s">
        <v>177</v>
      </c>
      <c r="D12" s="15" t="s">
        <v>15</v>
      </c>
      <c r="E12" s="15" t="s">
        <v>15</v>
      </c>
      <c r="F12" s="15" t="s">
        <v>178</v>
      </c>
      <c r="G12" s="22">
        <v>681.96</v>
      </c>
      <c r="H12" s="22">
        <f t="shared" si="0"/>
        <v>136.39200000000002</v>
      </c>
      <c r="I12" s="22">
        <f t="shared" si="1"/>
        <v>818.35200000000009</v>
      </c>
      <c r="J12" s="15">
        <v>7080</v>
      </c>
      <c r="K12" s="15" t="s">
        <v>35</v>
      </c>
      <c r="L12" s="15">
        <v>14800</v>
      </c>
      <c r="M12" s="21">
        <v>45789</v>
      </c>
    </row>
    <row r="13" spans="1:14" ht="25.5" x14ac:dyDescent="0.25">
      <c r="A13" s="21">
        <v>45785</v>
      </c>
      <c r="B13" s="15" t="s">
        <v>30</v>
      </c>
      <c r="C13" s="12" t="s">
        <v>179</v>
      </c>
      <c r="D13" s="15" t="s">
        <v>15</v>
      </c>
      <c r="E13" s="15" t="s">
        <v>15</v>
      </c>
      <c r="F13" s="15" t="s">
        <v>180</v>
      </c>
      <c r="G13" s="22">
        <v>23</v>
      </c>
      <c r="H13" s="22">
        <f t="shared" si="0"/>
        <v>4.6000000000000005</v>
      </c>
      <c r="I13" s="22">
        <f t="shared" si="1"/>
        <v>27.6</v>
      </c>
      <c r="J13" s="15">
        <v>7800</v>
      </c>
      <c r="K13" s="15" t="s">
        <v>17</v>
      </c>
      <c r="L13" s="15">
        <v>417797</v>
      </c>
      <c r="M13" s="21">
        <v>45790</v>
      </c>
    </row>
    <row r="14" spans="1:14" x14ac:dyDescent="0.25">
      <c r="A14" s="21">
        <v>45777</v>
      </c>
      <c r="B14" s="15" t="s">
        <v>23</v>
      </c>
      <c r="C14" s="12" t="s">
        <v>183</v>
      </c>
      <c r="D14" s="15" t="s">
        <v>15</v>
      </c>
      <c r="E14" s="15" t="s">
        <v>15</v>
      </c>
      <c r="F14" s="15" t="s">
        <v>39</v>
      </c>
      <c r="G14" s="22">
        <v>79.709999999999994</v>
      </c>
      <c r="H14" s="22">
        <f t="shared" si="0"/>
        <v>15.942</v>
      </c>
      <c r="I14" s="22">
        <f t="shared" si="1"/>
        <v>95.651999999999987</v>
      </c>
      <c r="J14" s="15">
        <v>7080</v>
      </c>
      <c r="K14" s="15" t="s">
        <v>35</v>
      </c>
      <c r="L14" s="15" t="s">
        <v>182</v>
      </c>
      <c r="M14" s="21">
        <v>45790</v>
      </c>
    </row>
    <row r="15" spans="1:14" x14ac:dyDescent="0.25">
      <c r="A15" s="21">
        <v>45789</v>
      </c>
      <c r="B15" s="15" t="s">
        <v>77</v>
      </c>
      <c r="C15" s="12" t="s">
        <v>40</v>
      </c>
      <c r="D15" s="15" t="s">
        <v>15</v>
      </c>
      <c r="E15" s="15" t="s">
        <v>15</v>
      </c>
      <c r="F15" s="15" t="s">
        <v>41</v>
      </c>
      <c r="G15" s="22">
        <v>420</v>
      </c>
      <c r="H15" s="22">
        <f t="shared" si="0"/>
        <v>84</v>
      </c>
      <c r="I15" s="22">
        <f t="shared" si="1"/>
        <v>504</v>
      </c>
      <c r="J15" s="15">
        <v>7840</v>
      </c>
      <c r="K15" s="15" t="s">
        <v>42</v>
      </c>
      <c r="L15" s="15">
        <v>56979</v>
      </c>
      <c r="M15" s="21">
        <v>45790</v>
      </c>
    </row>
    <row r="16" spans="1:14" x14ac:dyDescent="0.25">
      <c r="A16" s="21">
        <v>45775</v>
      </c>
      <c r="B16" s="15" t="s">
        <v>54</v>
      </c>
      <c r="C16" s="12" t="s">
        <v>40</v>
      </c>
      <c r="D16" s="15" t="s">
        <v>15</v>
      </c>
      <c r="E16" s="15" t="s">
        <v>15</v>
      </c>
      <c r="F16" s="15" t="s">
        <v>41</v>
      </c>
      <c r="G16" s="22">
        <v>560</v>
      </c>
      <c r="H16" s="22">
        <f t="shared" si="0"/>
        <v>112</v>
      </c>
      <c r="I16" s="22">
        <f t="shared" si="1"/>
        <v>672</v>
      </c>
      <c r="J16" s="15">
        <v>7840</v>
      </c>
      <c r="K16" s="15" t="s">
        <v>42</v>
      </c>
      <c r="L16" s="15">
        <v>56925</v>
      </c>
      <c r="M16" s="21">
        <v>45790</v>
      </c>
    </row>
    <row r="17" spans="1:13" x14ac:dyDescent="0.25">
      <c r="A17" s="21">
        <v>45775</v>
      </c>
      <c r="B17" s="15" t="s">
        <v>64</v>
      </c>
      <c r="C17" s="12" t="s">
        <v>40</v>
      </c>
      <c r="D17" s="15" t="s">
        <v>15</v>
      </c>
      <c r="E17" s="15" t="s">
        <v>15</v>
      </c>
      <c r="F17" s="15" t="s">
        <v>41</v>
      </c>
      <c r="G17" s="22">
        <v>420</v>
      </c>
      <c r="H17" s="22">
        <f t="shared" si="0"/>
        <v>84</v>
      </c>
      <c r="I17" s="22">
        <f t="shared" si="1"/>
        <v>504</v>
      </c>
      <c r="J17" s="15">
        <v>7840</v>
      </c>
      <c r="K17" s="15" t="s">
        <v>42</v>
      </c>
      <c r="L17" s="15">
        <v>56924</v>
      </c>
      <c r="M17" s="21">
        <v>45790</v>
      </c>
    </row>
    <row r="18" spans="1:13" x14ac:dyDescent="0.25">
      <c r="A18" s="21">
        <v>45747</v>
      </c>
      <c r="B18" s="15" t="s">
        <v>88</v>
      </c>
      <c r="C18" s="12" t="s">
        <v>40</v>
      </c>
      <c r="D18" s="15" t="s">
        <v>15</v>
      </c>
      <c r="E18" s="15" t="s">
        <v>15</v>
      </c>
      <c r="F18" s="15" t="s">
        <v>41</v>
      </c>
      <c r="G18" s="22">
        <v>490</v>
      </c>
      <c r="H18" s="22">
        <f t="shared" si="0"/>
        <v>98</v>
      </c>
      <c r="I18" s="22">
        <f t="shared" si="1"/>
        <v>588</v>
      </c>
      <c r="J18" s="15">
        <v>7840</v>
      </c>
      <c r="K18" s="15" t="s">
        <v>42</v>
      </c>
      <c r="L18" s="15">
        <v>56829</v>
      </c>
      <c r="M18" s="21">
        <v>45790</v>
      </c>
    </row>
    <row r="19" spans="1:13" ht="25.5" x14ac:dyDescent="0.25">
      <c r="A19" s="21">
        <v>45744</v>
      </c>
      <c r="B19" s="15" t="s">
        <v>23</v>
      </c>
      <c r="C19" s="12" t="s">
        <v>184</v>
      </c>
      <c r="D19" s="15" t="s">
        <v>15</v>
      </c>
      <c r="E19" s="15" t="s">
        <v>15</v>
      </c>
      <c r="F19" s="15" t="s">
        <v>41</v>
      </c>
      <c r="G19" s="22">
        <v>1620</v>
      </c>
      <c r="H19" s="22">
        <f t="shared" si="0"/>
        <v>324</v>
      </c>
      <c r="I19" s="22">
        <f t="shared" si="1"/>
        <v>1944</v>
      </c>
      <c r="J19" s="15">
        <v>7800</v>
      </c>
      <c r="K19" s="15" t="s">
        <v>17</v>
      </c>
      <c r="L19" s="15">
        <v>56810</v>
      </c>
      <c r="M19" s="21">
        <v>45790</v>
      </c>
    </row>
    <row r="20" spans="1:13" x14ac:dyDescent="0.25">
      <c r="A20" s="21">
        <v>45741</v>
      </c>
      <c r="B20" s="15" t="s">
        <v>62</v>
      </c>
      <c r="C20" s="12" t="s">
        <v>40</v>
      </c>
      <c r="D20" s="15" t="s">
        <v>15</v>
      </c>
      <c r="E20" s="15" t="s">
        <v>15</v>
      </c>
      <c r="F20" s="15" t="s">
        <v>41</v>
      </c>
      <c r="G20" s="22">
        <v>420</v>
      </c>
      <c r="H20" s="22">
        <f t="shared" si="0"/>
        <v>84</v>
      </c>
      <c r="I20" s="22">
        <f t="shared" si="1"/>
        <v>504</v>
      </c>
      <c r="J20" s="15">
        <v>7840</v>
      </c>
      <c r="K20" s="15" t="s">
        <v>42</v>
      </c>
      <c r="L20" s="15">
        <v>56784</v>
      </c>
      <c r="M20" s="21">
        <v>45790</v>
      </c>
    </row>
    <row r="21" spans="1:13" ht="25.5" x14ac:dyDescent="0.25">
      <c r="A21" s="21">
        <v>45748</v>
      </c>
      <c r="B21" s="15" t="s">
        <v>18</v>
      </c>
      <c r="C21" s="12" t="s">
        <v>185</v>
      </c>
      <c r="D21" s="15" t="s">
        <v>15</v>
      </c>
      <c r="E21" s="15" t="s">
        <v>15</v>
      </c>
      <c r="F21" s="15" t="s">
        <v>19</v>
      </c>
      <c r="G21" s="22">
        <v>171.08</v>
      </c>
      <c r="H21" s="22">
        <f t="shared" si="0"/>
        <v>34.216000000000001</v>
      </c>
      <c r="I21" s="22">
        <f t="shared" si="1"/>
        <v>205.29600000000002</v>
      </c>
      <c r="J21" s="15">
        <v>7800</v>
      </c>
      <c r="K21" s="15" t="s">
        <v>17</v>
      </c>
      <c r="L21" s="15">
        <v>1266192</v>
      </c>
      <c r="M21" s="21">
        <v>45790</v>
      </c>
    </row>
    <row r="22" spans="1:13" ht="38.25" x14ac:dyDescent="0.25">
      <c r="A22" s="21">
        <v>45778</v>
      </c>
      <c r="B22" s="15" t="s">
        <v>76</v>
      </c>
      <c r="C22" s="12" t="s">
        <v>189</v>
      </c>
      <c r="D22" s="15" t="s">
        <v>15</v>
      </c>
      <c r="E22" s="15" t="s">
        <v>15</v>
      </c>
      <c r="F22" s="15" t="s">
        <v>186</v>
      </c>
      <c r="G22" s="22">
        <v>45</v>
      </c>
      <c r="H22" s="22">
        <f t="shared" si="0"/>
        <v>9</v>
      </c>
      <c r="I22" s="22">
        <f t="shared" si="1"/>
        <v>54</v>
      </c>
      <c r="J22" s="15">
        <v>7520</v>
      </c>
      <c r="K22" s="15" t="s">
        <v>25</v>
      </c>
      <c r="L22" s="15" t="s">
        <v>187</v>
      </c>
      <c r="M22" s="21">
        <v>45791</v>
      </c>
    </row>
    <row r="23" spans="1:13" ht="38.25" x14ac:dyDescent="0.25">
      <c r="A23" s="21">
        <v>45778</v>
      </c>
      <c r="B23" s="15" t="s">
        <v>76</v>
      </c>
      <c r="C23" s="12" t="s">
        <v>189</v>
      </c>
      <c r="D23" s="15" t="s">
        <v>15</v>
      </c>
      <c r="E23" s="15" t="s">
        <v>15</v>
      </c>
      <c r="F23" s="15" t="s">
        <v>186</v>
      </c>
      <c r="G23" s="22">
        <v>45</v>
      </c>
      <c r="H23" s="22">
        <f t="shared" si="0"/>
        <v>9</v>
      </c>
      <c r="I23" s="22">
        <f t="shared" si="1"/>
        <v>54</v>
      </c>
      <c r="J23" s="15">
        <v>7520</v>
      </c>
      <c r="K23" s="15" t="s">
        <v>25</v>
      </c>
      <c r="L23" s="15" t="s">
        <v>188</v>
      </c>
      <c r="M23" s="21">
        <v>45791</v>
      </c>
    </row>
    <row r="24" spans="1:13" ht="25.5" x14ac:dyDescent="0.25">
      <c r="A24" s="21">
        <v>45778</v>
      </c>
      <c r="B24" s="15" t="s">
        <v>76</v>
      </c>
      <c r="C24" s="12" t="s">
        <v>191</v>
      </c>
      <c r="D24" s="15" t="s">
        <v>15</v>
      </c>
      <c r="E24" s="15" t="s">
        <v>15</v>
      </c>
      <c r="F24" s="15" t="s">
        <v>186</v>
      </c>
      <c r="G24" s="22">
        <v>177.93</v>
      </c>
      <c r="H24" s="22">
        <f t="shared" si="0"/>
        <v>35.586000000000006</v>
      </c>
      <c r="I24" s="22">
        <f t="shared" si="1"/>
        <v>213.51600000000002</v>
      </c>
      <c r="J24" s="15">
        <v>7520</v>
      </c>
      <c r="K24" s="15" t="s">
        <v>25</v>
      </c>
      <c r="L24" s="15" t="s">
        <v>190</v>
      </c>
      <c r="M24" s="21">
        <v>45791</v>
      </c>
    </row>
    <row r="25" spans="1:13" ht="25.5" x14ac:dyDescent="0.25">
      <c r="A25" s="21">
        <v>45770</v>
      </c>
      <c r="B25" s="15" t="s">
        <v>20</v>
      </c>
      <c r="C25" s="12" t="s">
        <v>192</v>
      </c>
      <c r="D25" s="15" t="s">
        <v>15</v>
      </c>
      <c r="E25" s="15" t="s">
        <v>15</v>
      </c>
      <c r="F25" s="15" t="s">
        <v>21</v>
      </c>
      <c r="G25" s="22">
        <v>123</v>
      </c>
      <c r="H25" s="22">
        <f t="shared" si="0"/>
        <v>24.6</v>
      </c>
      <c r="I25" s="22">
        <f t="shared" si="1"/>
        <v>147.6</v>
      </c>
      <c r="J25" s="15">
        <v>7810</v>
      </c>
      <c r="K25" s="15" t="s">
        <v>22</v>
      </c>
      <c r="L25" s="15">
        <v>74403</v>
      </c>
      <c r="M25" s="21">
        <v>45790</v>
      </c>
    </row>
    <row r="26" spans="1:13" x14ac:dyDescent="0.25">
      <c r="A26" s="21">
        <v>45789</v>
      </c>
      <c r="B26" s="15" t="s">
        <v>26</v>
      </c>
      <c r="C26" s="12" t="s">
        <v>198</v>
      </c>
      <c r="D26" s="15" t="s">
        <v>15</v>
      </c>
      <c r="E26" s="15" t="s">
        <v>15</v>
      </c>
      <c r="F26" s="15" t="s">
        <v>37</v>
      </c>
      <c r="G26" s="22">
        <v>403.78</v>
      </c>
      <c r="H26" s="22">
        <f t="shared" si="0"/>
        <v>80.756</v>
      </c>
      <c r="I26" s="22">
        <f t="shared" si="1"/>
        <v>484.53599999999994</v>
      </c>
      <c r="J26" s="15">
        <v>7530</v>
      </c>
      <c r="K26" s="15" t="s">
        <v>27</v>
      </c>
      <c r="L26" s="15" t="s">
        <v>193</v>
      </c>
      <c r="M26" s="21">
        <v>45790</v>
      </c>
    </row>
    <row r="27" spans="1:13" x14ac:dyDescent="0.25">
      <c r="A27" s="21">
        <v>45745</v>
      </c>
      <c r="B27" s="15" t="s">
        <v>29</v>
      </c>
      <c r="C27" s="12" t="s">
        <v>194</v>
      </c>
      <c r="D27" s="15" t="s">
        <v>15</v>
      </c>
      <c r="E27" s="15" t="s">
        <v>15</v>
      </c>
      <c r="F27" s="15" t="s">
        <v>195</v>
      </c>
      <c r="G27" s="22">
        <v>360</v>
      </c>
      <c r="H27" s="22">
        <f t="shared" si="0"/>
        <v>72</v>
      </c>
      <c r="I27" s="22">
        <f t="shared" si="1"/>
        <v>432</v>
      </c>
      <c r="J27" s="15">
        <v>7800</v>
      </c>
      <c r="K27" s="15" t="s">
        <v>17</v>
      </c>
      <c r="L27" s="15" t="s">
        <v>196</v>
      </c>
      <c r="M27" s="21">
        <v>45791</v>
      </c>
    </row>
    <row r="28" spans="1:13" ht="25.5" x14ac:dyDescent="0.25">
      <c r="A28" s="21">
        <v>45748</v>
      </c>
      <c r="B28" s="15" t="s">
        <v>23</v>
      </c>
      <c r="C28" s="12" t="s">
        <v>197</v>
      </c>
      <c r="D28" s="15" t="s">
        <v>15</v>
      </c>
      <c r="E28" s="15" t="s">
        <v>15</v>
      </c>
      <c r="F28" s="15" t="s">
        <v>47</v>
      </c>
      <c r="G28" s="22">
        <v>14432.6</v>
      </c>
      <c r="H28" s="22">
        <f t="shared" si="0"/>
        <v>2886.5200000000004</v>
      </c>
      <c r="I28" s="22">
        <f t="shared" si="1"/>
        <v>17319.120000000003</v>
      </c>
      <c r="J28" s="15">
        <v>1130</v>
      </c>
      <c r="K28" s="15" t="s">
        <v>46</v>
      </c>
      <c r="L28" s="15">
        <v>41702</v>
      </c>
      <c r="M28" s="21">
        <v>45791</v>
      </c>
    </row>
    <row r="29" spans="1:13" x14ac:dyDescent="0.25">
      <c r="A29" s="21">
        <v>45736</v>
      </c>
      <c r="B29" s="15" t="s">
        <v>33</v>
      </c>
      <c r="C29" s="12" t="s">
        <v>199</v>
      </c>
      <c r="D29" s="15" t="s">
        <v>15</v>
      </c>
      <c r="E29" s="15" t="s">
        <v>15</v>
      </c>
      <c r="F29" s="15" t="s">
        <v>34</v>
      </c>
      <c r="G29" s="22">
        <v>365</v>
      </c>
      <c r="H29" s="22">
        <f t="shared" si="0"/>
        <v>73</v>
      </c>
      <c r="I29" s="22">
        <f t="shared" si="1"/>
        <v>438</v>
      </c>
      <c r="J29" s="15">
        <v>7080</v>
      </c>
      <c r="K29" s="15" t="s">
        <v>35</v>
      </c>
      <c r="L29" s="15" t="s">
        <v>200</v>
      </c>
      <c r="M29" s="21">
        <v>45791</v>
      </c>
    </row>
    <row r="30" spans="1:13" x14ac:dyDescent="0.25">
      <c r="A30" s="21">
        <v>45758</v>
      </c>
      <c r="B30" s="15" t="s">
        <v>33</v>
      </c>
      <c r="C30" s="12" t="s">
        <v>201</v>
      </c>
      <c r="D30" s="15" t="s">
        <v>15</v>
      </c>
      <c r="E30" s="15" t="s">
        <v>15</v>
      </c>
      <c r="F30" s="15" t="s">
        <v>34</v>
      </c>
      <c r="G30" s="22">
        <v>365</v>
      </c>
      <c r="H30" s="22">
        <f t="shared" si="0"/>
        <v>73</v>
      </c>
      <c r="I30" s="22">
        <f t="shared" si="1"/>
        <v>438</v>
      </c>
      <c r="J30" s="15">
        <v>7080</v>
      </c>
      <c r="K30" s="15" t="s">
        <v>35</v>
      </c>
      <c r="L30" s="15" t="s">
        <v>202</v>
      </c>
      <c r="M30" s="21">
        <v>45791</v>
      </c>
    </row>
    <row r="31" spans="1:13" x14ac:dyDescent="0.25">
      <c r="A31" s="21">
        <v>45661</v>
      </c>
      <c r="B31" s="15" t="s">
        <v>23</v>
      </c>
      <c r="C31" s="12" t="s">
        <v>43</v>
      </c>
      <c r="D31" s="15" t="s">
        <v>15</v>
      </c>
      <c r="E31" s="15" t="s">
        <v>15</v>
      </c>
      <c r="F31" s="15" t="s">
        <v>24</v>
      </c>
      <c r="G31" s="22">
        <v>180.68</v>
      </c>
      <c r="H31" s="22">
        <f t="shared" si="0"/>
        <v>36.136000000000003</v>
      </c>
      <c r="I31" s="22">
        <f t="shared" si="1"/>
        <v>216.816</v>
      </c>
      <c r="J31" s="15">
        <v>7520</v>
      </c>
      <c r="K31" s="15" t="s">
        <v>25</v>
      </c>
      <c r="L31" s="15">
        <v>197719</v>
      </c>
      <c r="M31" s="21">
        <v>45791</v>
      </c>
    </row>
    <row r="32" spans="1:13" x14ac:dyDescent="0.25">
      <c r="A32" s="21">
        <v>45692</v>
      </c>
      <c r="B32" s="15" t="s">
        <v>23</v>
      </c>
      <c r="C32" s="12" t="s">
        <v>43</v>
      </c>
      <c r="D32" s="15" t="s">
        <v>15</v>
      </c>
      <c r="E32" s="15" t="s">
        <v>15</v>
      </c>
      <c r="F32" s="15" t="s">
        <v>24</v>
      </c>
      <c r="G32" s="22">
        <v>180.89</v>
      </c>
      <c r="H32" s="22">
        <f t="shared" si="0"/>
        <v>36.177999999999997</v>
      </c>
      <c r="I32" s="22">
        <f t="shared" si="1"/>
        <v>217.06799999999998</v>
      </c>
      <c r="J32" s="15">
        <v>7520</v>
      </c>
      <c r="K32" s="15" t="s">
        <v>25</v>
      </c>
      <c r="L32" s="15">
        <v>198451</v>
      </c>
      <c r="M32" s="21">
        <v>45791</v>
      </c>
    </row>
    <row r="33" spans="1:13" x14ac:dyDescent="0.25">
      <c r="A33" s="21">
        <v>45720</v>
      </c>
      <c r="B33" s="15" t="s">
        <v>23</v>
      </c>
      <c r="C33" s="12" t="s">
        <v>43</v>
      </c>
      <c r="D33" s="15" t="s">
        <v>15</v>
      </c>
      <c r="E33" s="15" t="s">
        <v>15</v>
      </c>
      <c r="F33" s="15" t="s">
        <v>24</v>
      </c>
      <c r="G33" s="22">
        <v>180.6</v>
      </c>
      <c r="H33" s="22">
        <f t="shared" si="0"/>
        <v>36.119999999999997</v>
      </c>
      <c r="I33" s="22">
        <f t="shared" si="1"/>
        <v>216.72</v>
      </c>
      <c r="J33" s="15">
        <v>7520</v>
      </c>
      <c r="K33" s="15" t="s">
        <v>25</v>
      </c>
      <c r="L33" s="15">
        <v>199178</v>
      </c>
      <c r="M33" s="21">
        <v>45791</v>
      </c>
    </row>
    <row r="34" spans="1:13" x14ac:dyDescent="0.25">
      <c r="A34" s="21">
        <v>45751</v>
      </c>
      <c r="B34" s="15" t="s">
        <v>23</v>
      </c>
      <c r="C34" s="12" t="s">
        <v>43</v>
      </c>
      <c r="D34" s="15" t="s">
        <v>15</v>
      </c>
      <c r="E34" s="15" t="s">
        <v>15</v>
      </c>
      <c r="F34" s="15" t="s">
        <v>24</v>
      </c>
      <c r="G34" s="22">
        <v>180.8</v>
      </c>
      <c r="H34" s="22">
        <f t="shared" si="0"/>
        <v>36.160000000000004</v>
      </c>
      <c r="I34" s="22">
        <f t="shared" si="1"/>
        <v>216.96</v>
      </c>
      <c r="J34" s="15">
        <v>7520</v>
      </c>
      <c r="K34" s="15" t="s">
        <v>25</v>
      </c>
      <c r="L34" s="15">
        <v>199898</v>
      </c>
      <c r="M34" s="21">
        <v>45791</v>
      </c>
    </row>
    <row r="35" spans="1:13" x14ac:dyDescent="0.25">
      <c r="A35" s="21">
        <v>45781</v>
      </c>
      <c r="B35" s="15" t="s">
        <v>23</v>
      </c>
      <c r="C35" s="12" t="s">
        <v>43</v>
      </c>
      <c r="D35" s="15" t="s">
        <v>15</v>
      </c>
      <c r="E35" s="15" t="s">
        <v>15</v>
      </c>
      <c r="F35" s="15" t="s">
        <v>24</v>
      </c>
      <c r="G35" s="22">
        <v>180.6</v>
      </c>
      <c r="H35" s="22">
        <f t="shared" ref="H35:H66" si="2">G35*0.2</f>
        <v>36.119999999999997</v>
      </c>
      <c r="I35" s="22">
        <f t="shared" ref="I35:I66" si="3">G35+H35</f>
        <v>216.72</v>
      </c>
      <c r="J35" s="15">
        <v>7520</v>
      </c>
      <c r="K35" s="15" t="s">
        <v>25</v>
      </c>
      <c r="L35" s="15">
        <v>200610</v>
      </c>
      <c r="M35" s="21">
        <v>45791</v>
      </c>
    </row>
    <row r="36" spans="1:13" ht="38.25" x14ac:dyDescent="0.25">
      <c r="A36" s="21">
        <v>45693</v>
      </c>
      <c r="B36" s="15" t="s">
        <v>61</v>
      </c>
      <c r="C36" s="12" t="s">
        <v>203</v>
      </c>
      <c r="D36" s="15" t="s">
        <v>15</v>
      </c>
      <c r="E36" s="15" t="s">
        <v>15</v>
      </c>
      <c r="F36" s="15" t="s">
        <v>31</v>
      </c>
      <c r="G36" s="22">
        <v>555</v>
      </c>
      <c r="H36" s="22">
        <f t="shared" si="2"/>
        <v>111</v>
      </c>
      <c r="I36" s="22">
        <f t="shared" si="3"/>
        <v>666</v>
      </c>
      <c r="J36" s="15">
        <v>7520</v>
      </c>
      <c r="K36" s="15" t="s">
        <v>25</v>
      </c>
      <c r="L36" s="15">
        <v>10683371</v>
      </c>
      <c r="M36" s="21">
        <v>45791</v>
      </c>
    </row>
    <row r="37" spans="1:13" ht="38.25" x14ac:dyDescent="0.25">
      <c r="A37" s="21">
        <v>45702</v>
      </c>
      <c r="B37" s="15" t="s">
        <v>48</v>
      </c>
      <c r="C37" s="12" t="s">
        <v>204</v>
      </c>
      <c r="D37" s="15" t="s">
        <v>15</v>
      </c>
      <c r="E37" s="15" t="s">
        <v>15</v>
      </c>
      <c r="F37" s="15" t="s">
        <v>31</v>
      </c>
      <c r="G37" s="22">
        <v>555</v>
      </c>
      <c r="H37" s="22">
        <f t="shared" si="2"/>
        <v>111</v>
      </c>
      <c r="I37" s="22">
        <f t="shared" si="3"/>
        <v>666</v>
      </c>
      <c r="J37" s="15">
        <v>7520</v>
      </c>
      <c r="K37" s="15" t="s">
        <v>25</v>
      </c>
      <c r="L37" s="15">
        <v>10683707</v>
      </c>
      <c r="M37" s="21">
        <v>45791</v>
      </c>
    </row>
    <row r="38" spans="1:13" ht="25.5" x14ac:dyDescent="0.25">
      <c r="A38" s="21">
        <v>45646</v>
      </c>
      <c r="B38" s="15" t="s">
        <v>23</v>
      </c>
      <c r="C38" s="12" t="s">
        <v>206</v>
      </c>
      <c r="D38" s="15" t="s">
        <v>15</v>
      </c>
      <c r="E38" s="15" t="s">
        <v>15</v>
      </c>
      <c r="F38" s="15" t="s">
        <v>32</v>
      </c>
      <c r="G38" s="22">
        <v>1051</v>
      </c>
      <c r="H38" s="22">
        <f t="shared" si="2"/>
        <v>210.20000000000002</v>
      </c>
      <c r="I38" s="22">
        <f t="shared" si="3"/>
        <v>1261.2</v>
      </c>
      <c r="J38" s="15">
        <v>7810</v>
      </c>
      <c r="K38" s="15" t="s">
        <v>22</v>
      </c>
      <c r="L38" s="15">
        <v>92872</v>
      </c>
      <c r="M38" s="21">
        <v>45791</v>
      </c>
    </row>
    <row r="39" spans="1:13" ht="25.5" x14ac:dyDescent="0.25">
      <c r="A39" s="21">
        <v>45674</v>
      </c>
      <c r="B39" s="15" t="s">
        <v>23</v>
      </c>
      <c r="C39" s="12" t="s">
        <v>205</v>
      </c>
      <c r="D39" s="15" t="s">
        <v>15</v>
      </c>
      <c r="E39" s="15" t="s">
        <v>15</v>
      </c>
      <c r="F39" s="15" t="s">
        <v>32</v>
      </c>
      <c r="G39" s="22">
        <v>976</v>
      </c>
      <c r="H39" s="22">
        <f t="shared" si="2"/>
        <v>195.20000000000002</v>
      </c>
      <c r="I39" s="22">
        <f t="shared" si="3"/>
        <v>1171.2</v>
      </c>
      <c r="J39" s="15">
        <v>7810</v>
      </c>
      <c r="K39" s="15" t="s">
        <v>22</v>
      </c>
      <c r="L39" s="15">
        <v>93499</v>
      </c>
      <c r="M39" s="21">
        <v>45791</v>
      </c>
    </row>
    <row r="40" spans="1:13" ht="25.5" x14ac:dyDescent="0.25">
      <c r="A40" s="21">
        <v>45730</v>
      </c>
      <c r="B40" s="15" t="s">
        <v>23</v>
      </c>
      <c r="C40" s="12" t="s">
        <v>207</v>
      </c>
      <c r="D40" s="15" t="s">
        <v>15</v>
      </c>
      <c r="E40" s="15" t="s">
        <v>15</v>
      </c>
      <c r="F40" s="15" t="s">
        <v>32</v>
      </c>
      <c r="G40" s="22">
        <v>994.98</v>
      </c>
      <c r="H40" s="22">
        <f t="shared" si="2"/>
        <v>198.99600000000001</v>
      </c>
      <c r="I40" s="22">
        <f t="shared" si="3"/>
        <v>1193.9760000000001</v>
      </c>
      <c r="J40" s="15">
        <v>7810</v>
      </c>
      <c r="K40" s="15" t="s">
        <v>22</v>
      </c>
      <c r="L40" s="15">
        <v>94708</v>
      </c>
      <c r="M40" s="21">
        <v>45791</v>
      </c>
    </row>
    <row r="41" spans="1:13" ht="25.5" x14ac:dyDescent="0.25">
      <c r="A41" s="21">
        <v>45758</v>
      </c>
      <c r="B41" s="15" t="s">
        <v>23</v>
      </c>
      <c r="C41" s="12" t="s">
        <v>208</v>
      </c>
      <c r="D41" s="15" t="s">
        <v>15</v>
      </c>
      <c r="E41" s="15" t="s">
        <v>15</v>
      </c>
      <c r="F41" s="15" t="s">
        <v>32</v>
      </c>
      <c r="G41" s="22">
        <v>743.66</v>
      </c>
      <c r="H41" s="22">
        <f t="shared" si="2"/>
        <v>148.732</v>
      </c>
      <c r="I41" s="22">
        <f t="shared" si="3"/>
        <v>892.39199999999994</v>
      </c>
      <c r="J41" s="15">
        <v>7810</v>
      </c>
      <c r="K41" s="15" t="s">
        <v>22</v>
      </c>
      <c r="L41" s="15">
        <v>95337</v>
      </c>
      <c r="M41" s="21">
        <v>45791</v>
      </c>
    </row>
    <row r="42" spans="1:13" ht="25.5" x14ac:dyDescent="0.25">
      <c r="A42" s="21">
        <v>45789</v>
      </c>
      <c r="B42" s="15" t="s">
        <v>56</v>
      </c>
      <c r="C42" s="12" t="s">
        <v>57</v>
      </c>
      <c r="D42" s="15" t="s">
        <v>15</v>
      </c>
      <c r="E42" s="15" t="s">
        <v>15</v>
      </c>
      <c r="F42" s="15" t="s">
        <v>58</v>
      </c>
      <c r="G42" s="22">
        <v>325</v>
      </c>
      <c r="H42" s="22">
        <f t="shared" si="2"/>
        <v>65</v>
      </c>
      <c r="I42" s="22">
        <f t="shared" si="3"/>
        <v>390</v>
      </c>
      <c r="J42" s="15">
        <v>7800</v>
      </c>
      <c r="K42" s="15" t="s">
        <v>17</v>
      </c>
      <c r="L42" s="15">
        <v>12423</v>
      </c>
      <c r="M42" s="21">
        <v>45804</v>
      </c>
    </row>
    <row r="43" spans="1:13" x14ac:dyDescent="0.25">
      <c r="A43" s="21">
        <v>45811</v>
      </c>
      <c r="B43" s="15" t="s">
        <v>26</v>
      </c>
      <c r="C43" s="12" t="s">
        <v>522</v>
      </c>
      <c r="D43" s="15" t="s">
        <v>210</v>
      </c>
      <c r="E43" s="15" t="s">
        <v>15</v>
      </c>
      <c r="F43" s="15" t="s">
        <v>38</v>
      </c>
      <c r="G43" s="22">
        <v>122.96</v>
      </c>
      <c r="H43" s="22">
        <f t="shared" si="2"/>
        <v>24.591999999999999</v>
      </c>
      <c r="I43" s="22">
        <f t="shared" si="3"/>
        <v>147.55199999999999</v>
      </c>
      <c r="J43" s="15">
        <v>7530</v>
      </c>
      <c r="K43" s="15" t="s">
        <v>27</v>
      </c>
      <c r="L43" s="15" t="s">
        <v>211</v>
      </c>
      <c r="M43" s="21">
        <v>45814</v>
      </c>
    </row>
    <row r="44" spans="1:13" ht="25.5" x14ac:dyDescent="0.25">
      <c r="A44" s="21">
        <v>45758</v>
      </c>
      <c r="B44" s="15" t="s">
        <v>30</v>
      </c>
      <c r="C44" s="12" t="s">
        <v>212</v>
      </c>
      <c r="D44" s="15" t="s">
        <v>15</v>
      </c>
      <c r="E44" s="15" t="s">
        <v>15</v>
      </c>
      <c r="F44" s="15" t="s">
        <v>180</v>
      </c>
      <c r="G44" s="22">
        <v>23</v>
      </c>
      <c r="H44" s="22">
        <f t="shared" si="2"/>
        <v>4.6000000000000005</v>
      </c>
      <c r="I44" s="22">
        <f t="shared" si="3"/>
        <v>27.6</v>
      </c>
      <c r="J44" s="15">
        <v>7800</v>
      </c>
      <c r="K44" s="15" t="s">
        <v>17</v>
      </c>
      <c r="L44" s="15">
        <v>416055</v>
      </c>
      <c r="M44" s="21">
        <v>45813</v>
      </c>
    </row>
    <row r="45" spans="1:13" x14ac:dyDescent="0.25">
      <c r="A45" s="21">
        <v>45792</v>
      </c>
      <c r="B45" s="15" t="s">
        <v>63</v>
      </c>
      <c r="C45" s="12" t="s">
        <v>153</v>
      </c>
      <c r="D45" s="15" t="s">
        <v>15</v>
      </c>
      <c r="E45" s="21">
        <v>45790</v>
      </c>
      <c r="F45" s="15" t="s">
        <v>16</v>
      </c>
      <c r="G45" s="22">
        <v>315</v>
      </c>
      <c r="H45" s="22">
        <f t="shared" si="2"/>
        <v>63</v>
      </c>
      <c r="I45" s="22">
        <f t="shared" si="3"/>
        <v>378</v>
      </c>
      <c r="J45" s="15">
        <v>7800</v>
      </c>
      <c r="K45" s="15" t="s">
        <v>17</v>
      </c>
      <c r="L45" s="15" t="s">
        <v>213</v>
      </c>
      <c r="M45" s="21">
        <v>45813</v>
      </c>
    </row>
    <row r="46" spans="1:13" x14ac:dyDescent="0.25">
      <c r="A46" s="21">
        <v>45807</v>
      </c>
      <c r="B46" s="15" t="s">
        <v>26</v>
      </c>
      <c r="C46" s="12" t="s">
        <v>214</v>
      </c>
      <c r="D46" s="15" t="s">
        <v>15</v>
      </c>
      <c r="E46" s="15" t="s">
        <v>15</v>
      </c>
      <c r="F46" s="15" t="s">
        <v>215</v>
      </c>
      <c r="G46" s="22">
        <v>1040</v>
      </c>
      <c r="H46" s="22">
        <f t="shared" si="2"/>
        <v>208</v>
      </c>
      <c r="I46" s="22">
        <f t="shared" si="3"/>
        <v>1248</v>
      </c>
      <c r="J46" s="15">
        <v>7800</v>
      </c>
      <c r="K46" s="15" t="s">
        <v>17</v>
      </c>
      <c r="L46" s="15">
        <v>203445</v>
      </c>
      <c r="M46" s="21">
        <v>45814</v>
      </c>
    </row>
    <row r="47" spans="1:13" ht="25.5" x14ac:dyDescent="0.25">
      <c r="A47" s="21">
        <v>45798</v>
      </c>
      <c r="B47" s="15" t="s">
        <v>20</v>
      </c>
      <c r="C47" s="12" t="s">
        <v>216</v>
      </c>
      <c r="D47" s="15" t="s">
        <v>15</v>
      </c>
      <c r="E47" s="15" t="s">
        <v>15</v>
      </c>
      <c r="F47" s="15" t="s">
        <v>21</v>
      </c>
      <c r="G47" s="22">
        <v>123</v>
      </c>
      <c r="H47" s="22">
        <f t="shared" si="2"/>
        <v>24.6</v>
      </c>
      <c r="I47" s="22">
        <f t="shared" si="3"/>
        <v>147.6</v>
      </c>
      <c r="J47" s="15">
        <v>7810</v>
      </c>
      <c r="K47" s="15" t="s">
        <v>22</v>
      </c>
      <c r="L47" s="15">
        <v>74954</v>
      </c>
      <c r="M47" s="21">
        <v>45813</v>
      </c>
    </row>
    <row r="48" spans="1:13" x14ac:dyDescent="0.25">
      <c r="A48" s="21">
        <v>45811</v>
      </c>
      <c r="B48" s="15" t="s">
        <v>26</v>
      </c>
      <c r="C48" s="12" t="s">
        <v>522</v>
      </c>
      <c r="D48" s="15" t="s">
        <v>210</v>
      </c>
      <c r="E48" s="15" t="s">
        <v>15</v>
      </c>
      <c r="F48" s="15" t="s">
        <v>37</v>
      </c>
      <c r="G48" s="22">
        <v>13.68</v>
      </c>
      <c r="H48" s="22">
        <f t="shared" si="2"/>
        <v>2.7360000000000002</v>
      </c>
      <c r="I48" s="22">
        <f t="shared" si="3"/>
        <v>16.416</v>
      </c>
      <c r="J48" s="15">
        <v>7530</v>
      </c>
      <c r="K48" s="15" t="s">
        <v>27</v>
      </c>
      <c r="L48" s="15" t="s">
        <v>219</v>
      </c>
      <c r="M48" s="21">
        <v>45814</v>
      </c>
    </row>
    <row r="49" spans="1:14" x14ac:dyDescent="0.25">
      <c r="A49" s="21">
        <v>45811</v>
      </c>
      <c r="B49" s="15" t="s">
        <v>26</v>
      </c>
      <c r="C49" s="12" t="s">
        <v>209</v>
      </c>
      <c r="D49" s="15" t="s">
        <v>210</v>
      </c>
      <c r="E49" s="15" t="s">
        <v>15</v>
      </c>
      <c r="F49" s="15" t="s">
        <v>37</v>
      </c>
      <c r="G49" s="22">
        <v>856.2</v>
      </c>
      <c r="H49" s="22">
        <f t="shared" si="2"/>
        <v>171.24</v>
      </c>
      <c r="I49" s="22">
        <f t="shared" si="3"/>
        <v>1027.44</v>
      </c>
      <c r="J49" s="15">
        <v>7530</v>
      </c>
      <c r="K49" s="15" t="s">
        <v>27</v>
      </c>
      <c r="L49" s="15" t="s">
        <v>220</v>
      </c>
      <c r="M49" s="21">
        <v>45813</v>
      </c>
    </row>
    <row r="50" spans="1:14" x14ac:dyDescent="0.25">
      <c r="A50" s="21">
        <v>45810</v>
      </c>
      <c r="B50" s="15" t="s">
        <v>26</v>
      </c>
      <c r="C50" s="12" t="s">
        <v>209</v>
      </c>
      <c r="D50" s="15" t="s">
        <v>210</v>
      </c>
      <c r="E50" s="15" t="s">
        <v>15</v>
      </c>
      <c r="F50" s="15" t="s">
        <v>221</v>
      </c>
      <c r="G50" s="22">
        <v>306.14999999999998</v>
      </c>
      <c r="H50" s="22">
        <f t="shared" si="2"/>
        <v>61.23</v>
      </c>
      <c r="I50" s="22">
        <f t="shared" si="3"/>
        <v>367.38</v>
      </c>
      <c r="J50" s="15">
        <v>7530</v>
      </c>
      <c r="K50" s="15" t="s">
        <v>27</v>
      </c>
      <c r="L50" s="15">
        <v>1149792</v>
      </c>
      <c r="M50" s="21">
        <v>45813</v>
      </c>
    </row>
    <row r="51" spans="1:14" x14ac:dyDescent="0.25">
      <c r="A51" s="21">
        <v>45796</v>
      </c>
      <c r="B51" s="15" t="s">
        <v>33</v>
      </c>
      <c r="C51" s="12" t="s">
        <v>222</v>
      </c>
      <c r="D51" s="15" t="s">
        <v>15</v>
      </c>
      <c r="E51" s="15" t="s">
        <v>15</v>
      </c>
      <c r="F51" s="15" t="s">
        <v>34</v>
      </c>
      <c r="G51" s="22">
        <v>365</v>
      </c>
      <c r="H51" s="22">
        <f t="shared" si="2"/>
        <v>73</v>
      </c>
      <c r="I51" s="22">
        <f t="shared" si="3"/>
        <v>438</v>
      </c>
      <c r="J51" s="15">
        <v>7080</v>
      </c>
      <c r="K51" s="15" t="s">
        <v>35</v>
      </c>
      <c r="L51" s="15" t="s">
        <v>223</v>
      </c>
      <c r="M51" s="21">
        <v>45813</v>
      </c>
    </row>
    <row r="52" spans="1:14" x14ac:dyDescent="0.25">
      <c r="A52" s="21">
        <v>45812</v>
      </c>
      <c r="B52" s="15" t="s">
        <v>54</v>
      </c>
      <c r="C52" s="12" t="s">
        <v>233</v>
      </c>
      <c r="D52" s="15" t="s">
        <v>15</v>
      </c>
      <c r="E52" s="15" t="s">
        <v>15</v>
      </c>
      <c r="F52" s="15" t="s">
        <v>215</v>
      </c>
      <c r="G52" s="22">
        <v>275</v>
      </c>
      <c r="H52" s="22">
        <f t="shared" si="2"/>
        <v>55</v>
      </c>
      <c r="I52" s="22">
        <f t="shared" si="3"/>
        <v>330</v>
      </c>
      <c r="J52" s="15">
        <v>7830</v>
      </c>
      <c r="K52" s="15" t="s">
        <v>234</v>
      </c>
      <c r="L52" s="15">
        <v>203497</v>
      </c>
      <c r="M52" s="21"/>
    </row>
    <row r="53" spans="1:14" ht="25.5" x14ac:dyDescent="0.25">
      <c r="A53" s="21">
        <v>45786</v>
      </c>
      <c r="B53" s="15" t="s">
        <v>23</v>
      </c>
      <c r="C53" s="12" t="s">
        <v>235</v>
      </c>
      <c r="D53" s="15" t="s">
        <v>15</v>
      </c>
      <c r="E53" s="15" t="s">
        <v>15</v>
      </c>
      <c r="F53" s="15" t="s">
        <v>32</v>
      </c>
      <c r="G53" s="22">
        <v>743.66</v>
      </c>
      <c r="H53" s="22">
        <f t="shared" si="2"/>
        <v>148.732</v>
      </c>
      <c r="I53" s="22">
        <f t="shared" si="3"/>
        <v>892.39199999999994</v>
      </c>
      <c r="J53" s="15">
        <v>7810</v>
      </c>
      <c r="K53" s="15" t="s">
        <v>22</v>
      </c>
      <c r="L53" s="15">
        <v>95972</v>
      </c>
    </row>
    <row r="54" spans="1:14" x14ac:dyDescent="0.25">
      <c r="A54" s="21">
        <v>45833</v>
      </c>
      <c r="B54" s="15" t="s">
        <v>26</v>
      </c>
      <c r="C54" s="12" t="s">
        <v>241</v>
      </c>
      <c r="D54" s="15" t="s">
        <v>242</v>
      </c>
      <c r="E54" s="15" t="s">
        <v>15</v>
      </c>
      <c r="F54" s="15" t="s">
        <v>38</v>
      </c>
      <c r="G54" s="22">
        <v>23.24</v>
      </c>
      <c r="H54" s="22">
        <f t="shared" si="2"/>
        <v>4.6479999999999997</v>
      </c>
      <c r="I54" s="22">
        <f t="shared" si="3"/>
        <v>27.887999999999998</v>
      </c>
      <c r="J54" s="15">
        <v>7530</v>
      </c>
      <c r="K54" s="15" t="s">
        <v>27</v>
      </c>
      <c r="L54" s="15" t="s">
        <v>243</v>
      </c>
      <c r="M54" s="21">
        <v>45836</v>
      </c>
    </row>
    <row r="55" spans="1:14" x14ac:dyDescent="0.25">
      <c r="A55" s="21">
        <v>45813</v>
      </c>
      <c r="B55" s="15" t="s">
        <v>26</v>
      </c>
      <c r="C55" s="12" t="s">
        <v>244</v>
      </c>
      <c r="D55" s="15" t="s">
        <v>210</v>
      </c>
      <c r="E55" s="15" t="s">
        <v>15</v>
      </c>
      <c r="F55" s="15" t="s">
        <v>37</v>
      </c>
      <c r="G55" s="22">
        <v>289.89999999999998</v>
      </c>
      <c r="H55" s="22">
        <f t="shared" si="2"/>
        <v>57.98</v>
      </c>
      <c r="I55" s="22">
        <f t="shared" si="3"/>
        <v>347.88</v>
      </c>
      <c r="J55" s="15">
        <v>7530</v>
      </c>
      <c r="K55" s="15" t="s">
        <v>27</v>
      </c>
      <c r="L55" s="15" t="s">
        <v>245</v>
      </c>
      <c r="M55" s="21">
        <v>45836</v>
      </c>
    </row>
    <row r="56" spans="1:14" x14ac:dyDescent="0.25">
      <c r="A56" s="21">
        <v>45827</v>
      </c>
      <c r="B56" s="15" t="s">
        <v>26</v>
      </c>
      <c r="C56" s="12" t="s">
        <v>241</v>
      </c>
      <c r="D56" s="15" t="s">
        <v>242</v>
      </c>
      <c r="E56" s="15" t="s">
        <v>15</v>
      </c>
      <c r="F56" s="15" t="s">
        <v>37</v>
      </c>
      <c r="G56" s="22">
        <v>419.35</v>
      </c>
      <c r="H56" s="22">
        <f t="shared" si="2"/>
        <v>83.87</v>
      </c>
      <c r="I56" s="22">
        <f t="shared" si="3"/>
        <v>503.22</v>
      </c>
      <c r="J56" s="15">
        <v>7530</v>
      </c>
      <c r="K56" s="15" t="s">
        <v>27</v>
      </c>
      <c r="L56" s="15" t="s">
        <v>246</v>
      </c>
      <c r="M56" s="21">
        <v>45836</v>
      </c>
    </row>
    <row r="57" spans="1:14" x14ac:dyDescent="0.25">
      <c r="A57" s="21">
        <v>45832</v>
      </c>
      <c r="B57" s="15" t="s">
        <v>26</v>
      </c>
      <c r="C57" s="12" t="s">
        <v>248</v>
      </c>
      <c r="D57" s="15" t="s">
        <v>242</v>
      </c>
      <c r="E57" s="15" t="s">
        <v>15</v>
      </c>
      <c r="F57" s="15" t="s">
        <v>37</v>
      </c>
      <c r="G57" s="22">
        <v>432.29</v>
      </c>
      <c r="H57" s="22">
        <f t="shared" si="2"/>
        <v>86.458000000000013</v>
      </c>
      <c r="I57" s="22">
        <f t="shared" si="3"/>
        <v>518.74800000000005</v>
      </c>
      <c r="J57" s="15">
        <v>7530</v>
      </c>
      <c r="K57" s="15" t="s">
        <v>27</v>
      </c>
      <c r="L57" s="15" t="s">
        <v>247</v>
      </c>
      <c r="M57" s="21">
        <v>45836</v>
      </c>
    </row>
    <row r="58" spans="1:14" x14ac:dyDescent="0.25">
      <c r="A58" s="21">
        <v>45821</v>
      </c>
      <c r="B58" s="15" t="s">
        <v>26</v>
      </c>
      <c r="C58" s="12" t="s">
        <v>249</v>
      </c>
      <c r="D58" s="15" t="s">
        <v>15</v>
      </c>
      <c r="E58" s="15" t="s">
        <v>15</v>
      </c>
      <c r="F58" s="15" t="s">
        <v>37</v>
      </c>
      <c r="G58" s="22">
        <v>-2.75</v>
      </c>
      <c r="H58" s="22">
        <f t="shared" si="2"/>
        <v>-0.55000000000000004</v>
      </c>
      <c r="I58" s="22">
        <f t="shared" si="3"/>
        <v>-3.3</v>
      </c>
      <c r="J58" s="15">
        <v>7530</v>
      </c>
      <c r="K58" s="15" t="s">
        <v>27</v>
      </c>
      <c r="L58" s="15" t="s">
        <v>250</v>
      </c>
      <c r="M58" s="21">
        <v>45836</v>
      </c>
    </row>
    <row r="59" spans="1:14" ht="25.5" x14ac:dyDescent="0.25">
      <c r="A59" s="21">
        <v>45817</v>
      </c>
      <c r="B59" s="15" t="s">
        <v>30</v>
      </c>
      <c r="C59" s="12" t="s">
        <v>251</v>
      </c>
      <c r="D59" s="15" t="s">
        <v>15</v>
      </c>
      <c r="E59" s="15" t="s">
        <v>15</v>
      </c>
      <c r="F59" s="15" t="s">
        <v>180</v>
      </c>
      <c r="G59" s="22">
        <v>23</v>
      </c>
      <c r="H59" s="22">
        <f t="shared" si="2"/>
        <v>4.6000000000000005</v>
      </c>
      <c r="I59" s="22">
        <f t="shared" si="3"/>
        <v>27.6</v>
      </c>
      <c r="J59" s="15">
        <v>7800</v>
      </c>
      <c r="K59" s="15" t="s">
        <v>17</v>
      </c>
      <c r="L59" s="15">
        <v>420139</v>
      </c>
      <c r="M59" s="21">
        <v>45836</v>
      </c>
    </row>
    <row r="60" spans="1:14" x14ac:dyDescent="0.25">
      <c r="A60" s="21">
        <v>45833</v>
      </c>
      <c r="B60" s="15" t="s">
        <v>68</v>
      </c>
      <c r="C60" s="12" t="s">
        <v>28</v>
      </c>
      <c r="D60" s="15" t="s">
        <v>15</v>
      </c>
      <c r="E60" s="21">
        <v>45825</v>
      </c>
      <c r="F60" s="15" t="s">
        <v>16</v>
      </c>
      <c r="G60" s="22">
        <v>300</v>
      </c>
      <c r="H60" s="22">
        <f t="shared" si="2"/>
        <v>60</v>
      </c>
      <c r="I60" s="22">
        <f t="shared" si="3"/>
        <v>360</v>
      </c>
      <c r="J60" s="15">
        <v>7800</v>
      </c>
      <c r="K60" s="15" t="s">
        <v>17</v>
      </c>
      <c r="L60" s="15" t="s">
        <v>252</v>
      </c>
      <c r="M60" s="21">
        <v>45836</v>
      </c>
    </row>
    <row r="61" spans="1:14" x14ac:dyDescent="0.25">
      <c r="A61" s="21">
        <v>45827</v>
      </c>
      <c r="B61" s="15" t="s">
        <v>26</v>
      </c>
      <c r="C61" s="12" t="s">
        <v>254</v>
      </c>
      <c r="D61" s="15" t="s">
        <v>242</v>
      </c>
      <c r="E61" s="15" t="s">
        <v>15</v>
      </c>
      <c r="F61" s="15" t="s">
        <v>255</v>
      </c>
      <c r="G61" s="22">
        <v>446.5</v>
      </c>
      <c r="H61" s="22">
        <f t="shared" si="2"/>
        <v>89.300000000000011</v>
      </c>
      <c r="I61" s="22">
        <f t="shared" si="3"/>
        <v>535.79999999999995</v>
      </c>
      <c r="J61" s="15">
        <v>7070</v>
      </c>
      <c r="K61" s="15" t="s">
        <v>256</v>
      </c>
      <c r="L61" s="15" t="s">
        <v>257</v>
      </c>
      <c r="M61" s="21">
        <v>45836</v>
      </c>
    </row>
    <row r="62" spans="1:14" x14ac:dyDescent="0.25">
      <c r="A62" s="21">
        <v>45808</v>
      </c>
      <c r="B62" s="15" t="s">
        <v>23</v>
      </c>
      <c r="C62" s="12" t="s">
        <v>258</v>
      </c>
      <c r="D62" s="15" t="s">
        <v>15</v>
      </c>
      <c r="E62" s="15" t="s">
        <v>15</v>
      </c>
      <c r="F62" s="15" t="s">
        <v>39</v>
      </c>
      <c r="G62" s="22">
        <v>274.89999999999998</v>
      </c>
      <c r="H62" s="22">
        <f t="shared" si="2"/>
        <v>54.98</v>
      </c>
      <c r="I62" s="22">
        <f t="shared" si="3"/>
        <v>329.88</v>
      </c>
      <c r="J62" s="15">
        <v>7080</v>
      </c>
      <c r="K62" s="15" t="s">
        <v>35</v>
      </c>
      <c r="L62" s="15" t="s">
        <v>259</v>
      </c>
      <c r="M62" s="21">
        <v>45836</v>
      </c>
    </row>
    <row r="63" spans="1:14" x14ac:dyDescent="0.25">
      <c r="A63" s="21">
        <v>45777</v>
      </c>
      <c r="B63" s="15" t="s">
        <v>23</v>
      </c>
      <c r="C63" s="12" t="s">
        <v>276</v>
      </c>
      <c r="D63" s="15" t="s">
        <v>15</v>
      </c>
      <c r="E63" s="15" t="s">
        <v>15</v>
      </c>
      <c r="F63" s="15" t="s">
        <v>277</v>
      </c>
      <c r="G63" s="22">
        <v>890</v>
      </c>
      <c r="H63" s="22">
        <f t="shared" si="2"/>
        <v>178</v>
      </c>
      <c r="I63" s="22">
        <f t="shared" si="3"/>
        <v>1068</v>
      </c>
      <c r="J63" s="15">
        <v>7810</v>
      </c>
      <c r="K63" s="15" t="s">
        <v>22</v>
      </c>
      <c r="L63" s="15" t="s">
        <v>278</v>
      </c>
      <c r="M63" s="21">
        <v>45854</v>
      </c>
      <c r="N63" s="15" t="s">
        <v>281</v>
      </c>
    </row>
    <row r="64" spans="1:14" x14ac:dyDescent="0.25">
      <c r="A64" s="21">
        <v>45764</v>
      </c>
      <c r="B64" s="15" t="s">
        <v>23</v>
      </c>
      <c r="C64" s="12" t="s">
        <v>279</v>
      </c>
      <c r="D64" s="15" t="s">
        <v>15</v>
      </c>
      <c r="E64" s="15" t="s">
        <v>15</v>
      </c>
      <c r="F64" s="15" t="s">
        <v>277</v>
      </c>
      <c r="G64" s="22">
        <v>925</v>
      </c>
      <c r="H64" s="22">
        <f t="shared" si="2"/>
        <v>185</v>
      </c>
      <c r="I64" s="22">
        <f t="shared" si="3"/>
        <v>1110</v>
      </c>
      <c r="J64" s="15">
        <v>7810</v>
      </c>
      <c r="K64" s="15" t="s">
        <v>22</v>
      </c>
      <c r="L64" s="15" t="s">
        <v>280</v>
      </c>
      <c r="M64" s="21">
        <v>45854</v>
      </c>
      <c r="N64" s="15" t="s">
        <v>281</v>
      </c>
    </row>
    <row r="65" spans="1:14" x14ac:dyDescent="0.25">
      <c r="A65" s="21">
        <v>45426</v>
      </c>
      <c r="B65" s="15" t="s">
        <v>23</v>
      </c>
      <c r="C65" s="12" t="s">
        <v>285</v>
      </c>
      <c r="D65" s="15" t="s">
        <v>15</v>
      </c>
      <c r="E65" s="15" t="s">
        <v>15</v>
      </c>
      <c r="F65" s="15" t="s">
        <v>277</v>
      </c>
      <c r="G65" s="22">
        <v>757.5</v>
      </c>
      <c r="H65" s="22">
        <f t="shared" si="2"/>
        <v>151.5</v>
      </c>
      <c r="I65" s="22">
        <f t="shared" si="3"/>
        <v>909</v>
      </c>
      <c r="J65" s="15">
        <v>7810</v>
      </c>
      <c r="K65" s="15" t="s">
        <v>22</v>
      </c>
      <c r="L65" s="15" t="s">
        <v>282</v>
      </c>
      <c r="M65" s="21">
        <v>45854</v>
      </c>
      <c r="N65" s="15" t="s">
        <v>283</v>
      </c>
    </row>
    <row r="66" spans="1:14" x14ac:dyDescent="0.25">
      <c r="A66" s="21">
        <v>45807</v>
      </c>
      <c r="B66" s="15" t="s">
        <v>23</v>
      </c>
      <c r="C66" s="12" t="s">
        <v>291</v>
      </c>
      <c r="D66" s="15" t="s">
        <v>15</v>
      </c>
      <c r="E66" s="15" t="s">
        <v>15</v>
      </c>
      <c r="F66" s="15" t="s">
        <v>277</v>
      </c>
      <c r="G66" s="22">
        <v>890</v>
      </c>
      <c r="H66" s="22">
        <f t="shared" si="2"/>
        <v>178</v>
      </c>
      <c r="I66" s="22">
        <f t="shared" si="3"/>
        <v>1068</v>
      </c>
      <c r="J66" s="15">
        <v>7810</v>
      </c>
      <c r="K66" s="15" t="s">
        <v>22</v>
      </c>
      <c r="L66" s="15" t="s">
        <v>284</v>
      </c>
      <c r="M66" s="21">
        <v>45854</v>
      </c>
      <c r="N66" s="15" t="s">
        <v>281</v>
      </c>
    </row>
    <row r="67" spans="1:14" x14ac:dyDescent="0.25">
      <c r="A67" s="21">
        <v>45747</v>
      </c>
      <c r="B67" s="15" t="s">
        <v>23</v>
      </c>
      <c r="C67" s="12" t="s">
        <v>292</v>
      </c>
      <c r="D67" s="15" t="s">
        <v>15</v>
      </c>
      <c r="E67" s="15" t="s">
        <v>15</v>
      </c>
      <c r="F67" s="15" t="s">
        <v>277</v>
      </c>
      <c r="G67" s="22">
        <v>2007.5</v>
      </c>
      <c r="H67" s="22">
        <f t="shared" ref="H67:H82" si="4">G67*0.2</f>
        <v>401.5</v>
      </c>
      <c r="I67" s="22">
        <f t="shared" ref="I67:I102" si="5">G67+H67</f>
        <v>2409</v>
      </c>
      <c r="J67" s="15">
        <v>7810</v>
      </c>
      <c r="K67" s="15" t="s">
        <v>22</v>
      </c>
      <c r="L67" s="15" t="s">
        <v>286</v>
      </c>
      <c r="M67" s="21">
        <v>45854</v>
      </c>
      <c r="N67" s="15" t="s">
        <v>281</v>
      </c>
    </row>
    <row r="68" spans="1:14" x14ac:dyDescent="0.25">
      <c r="A68" s="21">
        <v>45664</v>
      </c>
      <c r="B68" s="15" t="s">
        <v>23</v>
      </c>
      <c r="C68" s="12" t="s">
        <v>293</v>
      </c>
      <c r="D68" s="15" t="s">
        <v>15</v>
      </c>
      <c r="E68" s="15" t="s">
        <v>15</v>
      </c>
      <c r="F68" s="15" t="s">
        <v>277</v>
      </c>
      <c r="G68" s="22">
        <v>1157.5</v>
      </c>
      <c r="H68" s="22">
        <f t="shared" si="4"/>
        <v>231.5</v>
      </c>
      <c r="I68" s="22">
        <f t="shared" si="5"/>
        <v>1389</v>
      </c>
      <c r="J68" s="15">
        <v>7810</v>
      </c>
      <c r="K68" s="15" t="s">
        <v>22</v>
      </c>
      <c r="L68" s="15" t="s">
        <v>287</v>
      </c>
      <c r="M68" s="21">
        <v>45854</v>
      </c>
      <c r="N68" s="15" t="s">
        <v>281</v>
      </c>
    </row>
    <row r="69" spans="1:14" x14ac:dyDescent="0.25">
      <c r="A69" s="21">
        <v>45657</v>
      </c>
      <c r="B69" s="15" t="s">
        <v>23</v>
      </c>
      <c r="C69" s="12" t="s">
        <v>294</v>
      </c>
      <c r="D69" s="15" t="s">
        <v>15</v>
      </c>
      <c r="E69" s="15" t="s">
        <v>15</v>
      </c>
      <c r="F69" s="15" t="s">
        <v>277</v>
      </c>
      <c r="G69" s="22">
        <v>2215</v>
      </c>
      <c r="H69" s="22">
        <f t="shared" si="4"/>
        <v>443</v>
      </c>
      <c r="I69" s="22">
        <f t="shared" si="5"/>
        <v>2658</v>
      </c>
      <c r="J69" s="15">
        <v>7810</v>
      </c>
      <c r="K69" s="15" t="s">
        <v>22</v>
      </c>
      <c r="L69" s="15" t="s">
        <v>288</v>
      </c>
      <c r="M69" s="21">
        <v>45854</v>
      </c>
      <c r="N69" s="15" t="s">
        <v>281</v>
      </c>
    </row>
    <row r="70" spans="1:14" x14ac:dyDescent="0.25">
      <c r="A70" s="21">
        <v>45583</v>
      </c>
      <c r="B70" s="15" t="s">
        <v>23</v>
      </c>
      <c r="C70" s="12" t="s">
        <v>295</v>
      </c>
      <c r="D70" s="15" t="s">
        <v>15</v>
      </c>
      <c r="E70" s="15" t="s">
        <v>15</v>
      </c>
      <c r="F70" s="15" t="s">
        <v>277</v>
      </c>
      <c r="G70" s="22">
        <v>1505</v>
      </c>
      <c r="H70" s="22">
        <f t="shared" si="4"/>
        <v>301</v>
      </c>
      <c r="I70" s="22">
        <f t="shared" si="5"/>
        <v>1806</v>
      </c>
      <c r="J70" s="15">
        <v>7810</v>
      </c>
      <c r="K70" s="15" t="s">
        <v>22</v>
      </c>
      <c r="L70" s="15" t="s">
        <v>289</v>
      </c>
      <c r="M70" s="21">
        <v>45854</v>
      </c>
      <c r="N70" s="15" t="s">
        <v>281</v>
      </c>
    </row>
    <row r="71" spans="1:14" x14ac:dyDescent="0.25">
      <c r="A71" s="21">
        <v>45565</v>
      </c>
      <c r="B71" s="15" t="s">
        <v>23</v>
      </c>
      <c r="C71" s="12" t="s">
        <v>296</v>
      </c>
      <c r="D71" s="15" t="s">
        <v>15</v>
      </c>
      <c r="E71" s="15" t="s">
        <v>15</v>
      </c>
      <c r="F71" s="15" t="s">
        <v>277</v>
      </c>
      <c r="G71" s="22">
        <v>1310</v>
      </c>
      <c r="H71" s="22">
        <f t="shared" si="4"/>
        <v>262</v>
      </c>
      <c r="I71" s="22">
        <f t="shared" si="5"/>
        <v>1572</v>
      </c>
      <c r="J71" s="15">
        <v>7810</v>
      </c>
      <c r="K71" s="15" t="s">
        <v>22</v>
      </c>
      <c r="L71" s="15" t="s">
        <v>290</v>
      </c>
      <c r="M71" s="21">
        <v>45854</v>
      </c>
      <c r="N71" s="15" t="s">
        <v>283</v>
      </c>
    </row>
    <row r="72" spans="1:14" x14ac:dyDescent="0.25">
      <c r="A72" s="21">
        <v>45471</v>
      </c>
      <c r="B72" s="15" t="s">
        <v>23</v>
      </c>
      <c r="C72" s="12" t="s">
        <v>297</v>
      </c>
      <c r="D72" s="15" t="s">
        <v>15</v>
      </c>
      <c r="E72" s="15" t="s">
        <v>15</v>
      </c>
      <c r="F72" s="15" t="s">
        <v>277</v>
      </c>
      <c r="G72" s="22">
        <v>700</v>
      </c>
      <c r="H72" s="22">
        <f t="shared" si="4"/>
        <v>140</v>
      </c>
      <c r="I72" s="22">
        <f t="shared" si="5"/>
        <v>840</v>
      </c>
      <c r="J72" s="15">
        <v>7810</v>
      </c>
      <c r="K72" s="15" t="s">
        <v>22</v>
      </c>
      <c r="L72" s="15" t="s">
        <v>298</v>
      </c>
      <c r="M72" s="21">
        <v>45854</v>
      </c>
      <c r="N72" s="15" t="s">
        <v>283</v>
      </c>
    </row>
    <row r="73" spans="1:14" x14ac:dyDescent="0.25">
      <c r="A73" s="21">
        <v>45429</v>
      </c>
      <c r="B73" s="15" t="s">
        <v>23</v>
      </c>
      <c r="C73" s="12" t="s">
        <v>299</v>
      </c>
      <c r="D73" s="15" t="s">
        <v>15</v>
      </c>
      <c r="E73" s="15" t="s">
        <v>15</v>
      </c>
      <c r="F73" s="15" t="s">
        <v>277</v>
      </c>
      <c r="G73" s="22">
        <v>720</v>
      </c>
      <c r="H73" s="22">
        <f t="shared" si="4"/>
        <v>144</v>
      </c>
      <c r="I73" s="22">
        <f t="shared" si="5"/>
        <v>864</v>
      </c>
      <c r="J73" s="15">
        <v>7810</v>
      </c>
      <c r="K73" s="15" t="s">
        <v>22</v>
      </c>
      <c r="L73" s="15" t="s">
        <v>300</v>
      </c>
      <c r="M73" s="21">
        <v>45854</v>
      </c>
      <c r="N73" s="15" t="s">
        <v>283</v>
      </c>
    </row>
    <row r="74" spans="1:14" x14ac:dyDescent="0.25">
      <c r="A74" s="21">
        <v>45808</v>
      </c>
      <c r="B74" s="15" t="s">
        <v>54</v>
      </c>
      <c r="C74" s="12" t="s">
        <v>545</v>
      </c>
      <c r="D74" s="15" t="s">
        <v>15</v>
      </c>
      <c r="E74" s="15" t="s">
        <v>15</v>
      </c>
      <c r="F74" s="15" t="s">
        <v>41</v>
      </c>
      <c r="G74" s="22">
        <v>580</v>
      </c>
      <c r="H74" s="22">
        <f t="shared" si="4"/>
        <v>116</v>
      </c>
      <c r="I74" s="22">
        <f t="shared" si="5"/>
        <v>696</v>
      </c>
      <c r="J74" s="15">
        <v>7830</v>
      </c>
      <c r="K74" s="15" t="s">
        <v>234</v>
      </c>
      <c r="L74" s="15">
        <v>57093</v>
      </c>
      <c r="M74" s="21">
        <v>45854</v>
      </c>
    </row>
    <row r="75" spans="1:14" x14ac:dyDescent="0.25">
      <c r="A75" s="21">
        <v>45854</v>
      </c>
      <c r="B75" s="15" t="s">
        <v>26</v>
      </c>
      <c r="C75" s="12" t="s">
        <v>301</v>
      </c>
      <c r="D75" s="15" t="s">
        <v>302</v>
      </c>
      <c r="E75" s="15" t="s">
        <v>15</v>
      </c>
      <c r="F75" s="15" t="s">
        <v>38</v>
      </c>
      <c r="G75" s="22">
        <v>46.48</v>
      </c>
      <c r="H75" s="22">
        <f t="shared" si="4"/>
        <v>9.2959999999999994</v>
      </c>
      <c r="I75" s="22">
        <f t="shared" si="5"/>
        <v>55.775999999999996</v>
      </c>
      <c r="J75" s="15">
        <v>7530</v>
      </c>
      <c r="K75" s="15" t="s">
        <v>27</v>
      </c>
      <c r="L75" s="15" t="s">
        <v>303</v>
      </c>
      <c r="M75" s="21">
        <v>45854</v>
      </c>
    </row>
    <row r="76" spans="1:14" ht="25.5" x14ac:dyDescent="0.25">
      <c r="A76" s="21">
        <v>45842</v>
      </c>
      <c r="B76" s="15" t="s">
        <v>30</v>
      </c>
      <c r="C76" s="12" t="s">
        <v>304</v>
      </c>
      <c r="D76" s="15" t="s">
        <v>15</v>
      </c>
      <c r="E76" s="15" t="s">
        <v>15</v>
      </c>
      <c r="F76" s="15" t="s">
        <v>180</v>
      </c>
      <c r="G76" s="22">
        <v>23</v>
      </c>
      <c r="H76" s="22">
        <f t="shared" si="4"/>
        <v>4.6000000000000005</v>
      </c>
      <c r="I76" s="22">
        <f t="shared" si="5"/>
        <v>27.6</v>
      </c>
      <c r="J76" s="15">
        <v>7800</v>
      </c>
      <c r="K76" s="15" t="s">
        <v>17</v>
      </c>
      <c r="L76" s="15">
        <v>422180</v>
      </c>
      <c r="M76" s="21">
        <v>45854</v>
      </c>
    </row>
    <row r="77" spans="1:14" x14ac:dyDescent="0.25">
      <c r="A77" s="21">
        <v>45835</v>
      </c>
      <c r="B77" s="15" t="s">
        <v>26</v>
      </c>
      <c r="C77" s="12" t="s">
        <v>305</v>
      </c>
      <c r="D77" s="15" t="s">
        <v>15</v>
      </c>
      <c r="E77" s="15" t="s">
        <v>15</v>
      </c>
      <c r="F77" s="15" t="s">
        <v>255</v>
      </c>
      <c r="G77" s="22">
        <v>446.5</v>
      </c>
      <c r="H77" s="22">
        <f t="shared" si="4"/>
        <v>89.300000000000011</v>
      </c>
      <c r="I77" s="22">
        <f t="shared" si="5"/>
        <v>535.79999999999995</v>
      </c>
      <c r="J77" s="15">
        <v>7070</v>
      </c>
      <c r="K77" s="15" t="s">
        <v>256</v>
      </c>
      <c r="L77" s="15">
        <v>2413202</v>
      </c>
      <c r="M77" s="21">
        <v>45854</v>
      </c>
    </row>
    <row r="78" spans="1:14" x14ac:dyDescent="0.25">
      <c r="A78" s="21">
        <v>45812</v>
      </c>
      <c r="B78" s="15" t="s">
        <v>23</v>
      </c>
      <c r="C78" s="12" t="s">
        <v>312</v>
      </c>
      <c r="D78" s="15" t="s">
        <v>15</v>
      </c>
      <c r="E78" s="15" t="s">
        <v>15</v>
      </c>
      <c r="F78" s="15" t="s">
        <v>24</v>
      </c>
      <c r="G78" s="22">
        <v>182.18</v>
      </c>
      <c r="H78" s="22">
        <f t="shared" si="4"/>
        <v>36.436</v>
      </c>
      <c r="I78" s="22">
        <f t="shared" si="5"/>
        <v>218.61600000000001</v>
      </c>
      <c r="J78" s="15">
        <v>7520</v>
      </c>
      <c r="K78" s="15" t="s">
        <v>25</v>
      </c>
      <c r="L78" s="15">
        <v>201324</v>
      </c>
      <c r="M78" s="21">
        <v>45854</v>
      </c>
    </row>
    <row r="79" spans="1:14" x14ac:dyDescent="0.25">
      <c r="A79" s="21">
        <v>45842</v>
      </c>
      <c r="B79" s="15" t="s">
        <v>23</v>
      </c>
      <c r="C79" s="12" t="s">
        <v>312</v>
      </c>
      <c r="D79" s="15" t="s">
        <v>15</v>
      </c>
      <c r="E79" s="15" t="s">
        <v>15</v>
      </c>
      <c r="F79" s="15" t="s">
        <v>24</v>
      </c>
      <c r="G79" s="22">
        <v>163.43</v>
      </c>
      <c r="H79" s="22">
        <f t="shared" si="4"/>
        <v>32.686</v>
      </c>
      <c r="I79" s="22">
        <f t="shared" si="5"/>
        <v>196.11600000000001</v>
      </c>
      <c r="J79" s="15">
        <v>7520</v>
      </c>
      <c r="K79" s="15" t="s">
        <v>25</v>
      </c>
      <c r="L79" s="15">
        <v>202041</v>
      </c>
      <c r="M79" s="21">
        <v>45854</v>
      </c>
    </row>
    <row r="80" spans="1:14" x14ac:dyDescent="0.25">
      <c r="A80" s="21">
        <v>45832</v>
      </c>
      <c r="B80" s="15" t="s">
        <v>64</v>
      </c>
      <c r="C80" s="12" t="s">
        <v>233</v>
      </c>
      <c r="D80" s="15" t="s">
        <v>15</v>
      </c>
      <c r="E80" s="15" t="s">
        <v>15</v>
      </c>
      <c r="F80" s="15" t="s">
        <v>215</v>
      </c>
      <c r="G80" s="22">
        <v>275</v>
      </c>
      <c r="H80" s="22">
        <f t="shared" si="4"/>
        <v>55</v>
      </c>
      <c r="I80" s="22">
        <f t="shared" si="5"/>
        <v>330</v>
      </c>
      <c r="J80" s="15">
        <v>7830</v>
      </c>
      <c r="K80" s="15" t="s">
        <v>234</v>
      </c>
      <c r="L80" s="15">
        <v>203660</v>
      </c>
      <c r="M80" s="21">
        <v>45876</v>
      </c>
    </row>
    <row r="81" spans="1:13" x14ac:dyDescent="0.25">
      <c r="A81" s="21">
        <v>45834</v>
      </c>
      <c r="B81" s="15" t="s">
        <v>64</v>
      </c>
      <c r="C81" s="12" t="s">
        <v>545</v>
      </c>
      <c r="D81" s="15" t="s">
        <v>15</v>
      </c>
      <c r="E81" s="15" t="s">
        <v>15</v>
      </c>
      <c r="F81" s="15" t="s">
        <v>41</v>
      </c>
      <c r="G81" s="22">
        <v>440</v>
      </c>
      <c r="H81" s="22">
        <f t="shared" si="4"/>
        <v>88</v>
      </c>
      <c r="I81" s="22">
        <f t="shared" si="5"/>
        <v>528</v>
      </c>
      <c r="J81" s="15">
        <v>7830</v>
      </c>
      <c r="K81" s="15" t="s">
        <v>234</v>
      </c>
      <c r="L81" s="15">
        <v>57183</v>
      </c>
      <c r="M81" s="21">
        <v>45876</v>
      </c>
    </row>
    <row r="82" spans="1:13" x14ac:dyDescent="0.25">
      <c r="A82" s="21">
        <v>45854</v>
      </c>
      <c r="B82" s="15" t="s">
        <v>26</v>
      </c>
      <c r="C82" s="12" t="s">
        <v>314</v>
      </c>
      <c r="D82" s="15" t="s">
        <v>302</v>
      </c>
      <c r="E82" s="15" t="s">
        <v>15</v>
      </c>
      <c r="F82" s="15" t="s">
        <v>315</v>
      </c>
      <c r="G82" s="22">
        <v>34.5</v>
      </c>
      <c r="H82" s="22">
        <f t="shared" si="4"/>
        <v>6.9</v>
      </c>
      <c r="I82" s="22">
        <f t="shared" si="5"/>
        <v>41.4</v>
      </c>
      <c r="J82" s="15">
        <v>7530</v>
      </c>
      <c r="K82" s="15" t="s">
        <v>27</v>
      </c>
      <c r="L82" s="15">
        <v>5730</v>
      </c>
      <c r="M82" s="21">
        <v>45876</v>
      </c>
    </row>
    <row r="83" spans="1:13" x14ac:dyDescent="0.25">
      <c r="A83" s="21">
        <v>45859</v>
      </c>
      <c r="B83" s="15" t="s">
        <v>33</v>
      </c>
      <c r="C83" s="12" t="s">
        <v>316</v>
      </c>
      <c r="D83" s="15" t="s">
        <v>15</v>
      </c>
      <c r="E83" s="15" t="s">
        <v>15</v>
      </c>
      <c r="F83" s="15" t="s">
        <v>317</v>
      </c>
      <c r="G83" s="22">
        <v>170</v>
      </c>
      <c r="H83" s="22">
        <v>0</v>
      </c>
      <c r="I83" s="22">
        <f t="shared" si="5"/>
        <v>170</v>
      </c>
      <c r="J83" s="15">
        <v>7050</v>
      </c>
      <c r="K83" s="15" t="s">
        <v>318</v>
      </c>
      <c r="L83" s="15" t="s">
        <v>319</v>
      </c>
      <c r="M83" s="21">
        <v>45876</v>
      </c>
    </row>
    <row r="84" spans="1:13" ht="25.5" x14ac:dyDescent="0.25">
      <c r="A84" s="21">
        <v>45869</v>
      </c>
      <c r="B84" s="15" t="s">
        <v>26</v>
      </c>
      <c r="C84" s="12" t="s">
        <v>322</v>
      </c>
      <c r="D84" s="15" t="s">
        <v>15</v>
      </c>
      <c r="E84" s="15" t="s">
        <v>15</v>
      </c>
      <c r="F84" s="15" t="s">
        <v>320</v>
      </c>
      <c r="G84" s="22">
        <v>147.69999999999999</v>
      </c>
      <c r="H84" s="22">
        <f t="shared" ref="H84:H98" si="6">G84*0.2</f>
        <v>29.54</v>
      </c>
      <c r="I84" s="22">
        <f t="shared" si="5"/>
        <v>177.23999999999998</v>
      </c>
      <c r="J84" s="15">
        <v>7570</v>
      </c>
      <c r="K84" s="15" t="s">
        <v>44</v>
      </c>
      <c r="L84" s="15" t="s">
        <v>321</v>
      </c>
      <c r="M84" s="21">
        <v>45876</v>
      </c>
    </row>
    <row r="85" spans="1:13" ht="25.5" x14ac:dyDescent="0.25">
      <c r="A85" s="21">
        <v>45876</v>
      </c>
      <c r="B85" s="15" t="s">
        <v>26</v>
      </c>
      <c r="C85" s="12" t="s">
        <v>323</v>
      </c>
      <c r="D85" s="15" t="s">
        <v>15</v>
      </c>
      <c r="E85" s="15" t="s">
        <v>15</v>
      </c>
      <c r="F85" s="15" t="s">
        <v>320</v>
      </c>
      <c r="G85" s="22">
        <v>107.6</v>
      </c>
      <c r="H85" s="22">
        <f t="shared" si="6"/>
        <v>21.52</v>
      </c>
      <c r="I85" s="22">
        <f t="shared" si="5"/>
        <v>129.12</v>
      </c>
      <c r="J85" s="15">
        <v>7570</v>
      </c>
      <c r="K85" s="15" t="s">
        <v>44</v>
      </c>
      <c r="L85" s="15" t="s">
        <v>324</v>
      </c>
      <c r="M85" s="21">
        <v>45876</v>
      </c>
    </row>
    <row r="86" spans="1:13" x14ac:dyDescent="0.25">
      <c r="A86" s="21">
        <v>45861</v>
      </c>
      <c r="B86" s="15" t="s">
        <v>328</v>
      </c>
      <c r="C86" s="12" t="s">
        <v>329</v>
      </c>
      <c r="D86" s="15" t="s">
        <v>15</v>
      </c>
      <c r="E86" s="15" t="s">
        <v>15</v>
      </c>
      <c r="F86" s="15" t="s">
        <v>330</v>
      </c>
      <c r="G86" s="22">
        <v>220</v>
      </c>
      <c r="H86" s="22">
        <f t="shared" si="6"/>
        <v>44</v>
      </c>
      <c r="I86" s="22">
        <f t="shared" si="5"/>
        <v>264</v>
      </c>
      <c r="J86" s="15">
        <v>7800</v>
      </c>
      <c r="K86" s="15" t="s">
        <v>17</v>
      </c>
      <c r="L86" s="15" t="s">
        <v>331</v>
      </c>
      <c r="M86" s="21">
        <v>45876</v>
      </c>
    </row>
    <row r="87" spans="1:13" x14ac:dyDescent="0.25">
      <c r="A87" s="21">
        <v>45869</v>
      </c>
      <c r="B87" s="15" t="s">
        <v>26</v>
      </c>
      <c r="C87" s="12" t="s">
        <v>332</v>
      </c>
      <c r="D87" s="15" t="s">
        <v>15</v>
      </c>
      <c r="E87" s="15" t="s">
        <v>15</v>
      </c>
      <c r="F87" s="15" t="s">
        <v>255</v>
      </c>
      <c r="G87" s="22">
        <v>1315.45</v>
      </c>
      <c r="H87" s="22">
        <f t="shared" si="6"/>
        <v>263.09000000000003</v>
      </c>
      <c r="I87" s="22">
        <f t="shared" si="5"/>
        <v>1578.54</v>
      </c>
      <c r="J87" s="15">
        <v>7070</v>
      </c>
      <c r="K87" s="15" t="s">
        <v>256</v>
      </c>
      <c r="L87" s="15" t="s">
        <v>333</v>
      </c>
      <c r="M87" s="21">
        <v>45876</v>
      </c>
    </row>
    <row r="88" spans="1:13" ht="25.5" x14ac:dyDescent="0.25">
      <c r="A88" s="21">
        <v>45873</v>
      </c>
      <c r="B88" s="15" t="s">
        <v>26</v>
      </c>
      <c r="C88" s="12" t="s">
        <v>334</v>
      </c>
      <c r="D88" s="15" t="s">
        <v>15</v>
      </c>
      <c r="E88" s="15" t="s">
        <v>15</v>
      </c>
      <c r="F88" s="15" t="s">
        <v>315</v>
      </c>
      <c r="G88" s="22">
        <v>109.5</v>
      </c>
      <c r="H88" s="22">
        <f t="shared" si="6"/>
        <v>21.900000000000002</v>
      </c>
      <c r="I88" s="22">
        <f t="shared" si="5"/>
        <v>131.4</v>
      </c>
      <c r="J88" s="15">
        <v>7570</v>
      </c>
      <c r="K88" s="15" t="s">
        <v>44</v>
      </c>
      <c r="L88" s="15">
        <v>5773</v>
      </c>
      <c r="M88" s="21">
        <v>45877</v>
      </c>
    </row>
    <row r="89" spans="1:13" x14ac:dyDescent="0.25">
      <c r="A89" s="21">
        <v>45873</v>
      </c>
      <c r="B89" s="15" t="s">
        <v>49</v>
      </c>
      <c r="C89" s="12" t="s">
        <v>335</v>
      </c>
      <c r="D89" s="15" t="s">
        <v>15</v>
      </c>
      <c r="E89" s="15" t="s">
        <v>15</v>
      </c>
      <c r="F89" s="15" t="s">
        <v>215</v>
      </c>
      <c r="G89" s="22">
        <v>282</v>
      </c>
      <c r="H89" s="22">
        <f t="shared" si="6"/>
        <v>56.400000000000006</v>
      </c>
      <c r="I89" s="22">
        <f t="shared" si="5"/>
        <v>338.4</v>
      </c>
      <c r="J89" s="15">
        <v>7830</v>
      </c>
      <c r="K89" s="15" t="s">
        <v>234</v>
      </c>
      <c r="L89" s="15">
        <v>203959</v>
      </c>
      <c r="M89" s="21">
        <v>45877</v>
      </c>
    </row>
    <row r="90" spans="1:13" ht="25.5" x14ac:dyDescent="0.25">
      <c r="A90" s="21">
        <v>45866</v>
      </c>
      <c r="B90" s="15" t="s">
        <v>327</v>
      </c>
      <c r="C90" s="12" t="s">
        <v>336</v>
      </c>
      <c r="D90" s="15" t="s">
        <v>15</v>
      </c>
      <c r="E90" s="15" t="s">
        <v>15</v>
      </c>
      <c r="F90" s="15" t="s">
        <v>215</v>
      </c>
      <c r="G90" s="22">
        <v>381</v>
      </c>
      <c r="H90" s="22">
        <f t="shared" si="6"/>
        <v>76.2</v>
      </c>
      <c r="I90" s="22">
        <f t="shared" si="5"/>
        <v>457.2</v>
      </c>
      <c r="J90" s="15">
        <v>7830</v>
      </c>
      <c r="K90" s="15" t="s">
        <v>234</v>
      </c>
      <c r="L90" s="15">
        <v>203871</v>
      </c>
      <c r="M90" s="21">
        <v>45877</v>
      </c>
    </row>
    <row r="91" spans="1:13" x14ac:dyDescent="0.25">
      <c r="A91" s="21">
        <v>45859</v>
      </c>
      <c r="B91" s="15" t="s">
        <v>337</v>
      </c>
      <c r="C91" s="12" t="s">
        <v>338</v>
      </c>
      <c r="D91" s="15" t="s">
        <v>15</v>
      </c>
      <c r="E91" s="15" t="s">
        <v>15</v>
      </c>
      <c r="F91" s="15" t="s">
        <v>215</v>
      </c>
      <c r="G91" s="22">
        <v>360</v>
      </c>
      <c r="H91" s="22">
        <f t="shared" si="6"/>
        <v>72</v>
      </c>
      <c r="I91" s="22">
        <f t="shared" si="5"/>
        <v>432</v>
      </c>
      <c r="J91" s="15">
        <v>7830</v>
      </c>
      <c r="K91" s="15" t="s">
        <v>234</v>
      </c>
      <c r="L91" s="15">
        <v>203830</v>
      </c>
      <c r="M91" s="21">
        <v>45877</v>
      </c>
    </row>
    <row r="92" spans="1:13" x14ac:dyDescent="0.25">
      <c r="A92" s="21">
        <v>45842</v>
      </c>
      <c r="B92" s="15" t="s">
        <v>226</v>
      </c>
      <c r="C92" s="12" t="s">
        <v>233</v>
      </c>
      <c r="D92" s="15" t="s">
        <v>15</v>
      </c>
      <c r="E92" s="15" t="s">
        <v>15</v>
      </c>
      <c r="F92" s="15" t="s">
        <v>215</v>
      </c>
      <c r="G92" s="22">
        <v>275</v>
      </c>
      <c r="H92" s="22">
        <f t="shared" si="6"/>
        <v>55</v>
      </c>
      <c r="I92" s="22">
        <f t="shared" si="5"/>
        <v>330</v>
      </c>
      <c r="J92" s="15">
        <v>7830</v>
      </c>
      <c r="K92" s="15" t="s">
        <v>234</v>
      </c>
      <c r="L92" s="15">
        <v>203750</v>
      </c>
      <c r="M92" s="21">
        <v>45877</v>
      </c>
    </row>
    <row r="93" spans="1:13" x14ac:dyDescent="0.25">
      <c r="A93" s="21">
        <v>45842</v>
      </c>
      <c r="B93" s="15" t="s">
        <v>337</v>
      </c>
      <c r="C93" s="12" t="s">
        <v>40</v>
      </c>
      <c r="D93" s="15" t="s">
        <v>15</v>
      </c>
      <c r="E93" s="15" t="s">
        <v>15</v>
      </c>
      <c r="F93" s="15" t="s">
        <v>41</v>
      </c>
      <c r="G93" s="22">
        <v>420</v>
      </c>
      <c r="H93" s="22">
        <f t="shared" si="6"/>
        <v>84</v>
      </c>
      <c r="I93" s="22">
        <f t="shared" si="5"/>
        <v>504</v>
      </c>
      <c r="J93" s="15">
        <v>7840</v>
      </c>
      <c r="K93" s="15" t="s">
        <v>42</v>
      </c>
      <c r="L93" s="15">
        <v>57202</v>
      </c>
      <c r="M93" s="21">
        <v>45876</v>
      </c>
    </row>
    <row r="94" spans="1:13" x14ac:dyDescent="0.25">
      <c r="A94" s="21">
        <v>45842</v>
      </c>
      <c r="B94" s="15" t="s">
        <v>226</v>
      </c>
      <c r="C94" s="12" t="s">
        <v>40</v>
      </c>
      <c r="D94" s="15" t="s">
        <v>15</v>
      </c>
      <c r="E94" s="15" t="s">
        <v>15</v>
      </c>
      <c r="F94" s="15" t="s">
        <v>41</v>
      </c>
      <c r="G94" s="22">
        <v>480</v>
      </c>
      <c r="H94" s="22">
        <f t="shared" si="6"/>
        <v>96</v>
      </c>
      <c r="I94" s="22">
        <f t="shared" si="5"/>
        <v>576</v>
      </c>
      <c r="J94" s="15">
        <v>7830</v>
      </c>
      <c r="K94" s="15" t="s">
        <v>234</v>
      </c>
      <c r="L94" s="15">
        <v>57203</v>
      </c>
      <c r="M94" s="21">
        <v>45876</v>
      </c>
    </row>
    <row r="95" spans="1:13" x14ac:dyDescent="0.25">
      <c r="A95" s="21">
        <v>45842</v>
      </c>
      <c r="B95" s="15" t="s">
        <v>337</v>
      </c>
      <c r="C95" s="12" t="s">
        <v>545</v>
      </c>
      <c r="D95" s="15" t="s">
        <v>15</v>
      </c>
      <c r="E95" s="15" t="s">
        <v>15</v>
      </c>
      <c r="F95" s="15" t="s">
        <v>41</v>
      </c>
      <c r="G95" s="22">
        <v>480</v>
      </c>
      <c r="H95" s="22">
        <f t="shared" si="6"/>
        <v>96</v>
      </c>
      <c r="I95" s="22">
        <f t="shared" si="5"/>
        <v>576</v>
      </c>
      <c r="J95" s="15">
        <v>7830</v>
      </c>
      <c r="K95" s="15" t="s">
        <v>234</v>
      </c>
      <c r="L95" s="15">
        <v>57318</v>
      </c>
      <c r="M95" s="21">
        <v>45876</v>
      </c>
    </row>
    <row r="96" spans="1:13" ht="25.5" x14ac:dyDescent="0.25">
      <c r="A96" s="21">
        <v>45842</v>
      </c>
      <c r="B96" s="15" t="s">
        <v>23</v>
      </c>
      <c r="C96" s="12" t="s">
        <v>339</v>
      </c>
      <c r="D96" s="15" t="s">
        <v>15</v>
      </c>
      <c r="E96" s="15" t="s">
        <v>15</v>
      </c>
      <c r="F96" s="15" t="s">
        <v>41</v>
      </c>
      <c r="G96" s="22">
        <v>2220</v>
      </c>
      <c r="H96" s="22">
        <f t="shared" si="6"/>
        <v>444</v>
      </c>
      <c r="I96" s="22">
        <f t="shared" si="5"/>
        <v>2664</v>
      </c>
      <c r="J96" s="15">
        <v>7800</v>
      </c>
      <c r="K96" s="15" t="s">
        <v>17</v>
      </c>
      <c r="L96" s="15">
        <v>57204</v>
      </c>
      <c r="M96" s="21">
        <v>45876</v>
      </c>
    </row>
    <row r="97" spans="1:13" x14ac:dyDescent="0.25">
      <c r="A97" s="21">
        <v>45875</v>
      </c>
      <c r="B97" s="15" t="s">
        <v>30</v>
      </c>
      <c r="C97" s="12" t="s">
        <v>40</v>
      </c>
      <c r="D97" s="15" t="s">
        <v>15</v>
      </c>
      <c r="E97" s="15" t="s">
        <v>15</v>
      </c>
      <c r="F97" s="15" t="s">
        <v>41</v>
      </c>
      <c r="G97" s="22">
        <v>480</v>
      </c>
      <c r="H97" s="22">
        <f t="shared" si="6"/>
        <v>96</v>
      </c>
      <c r="I97" s="22">
        <f t="shared" si="5"/>
        <v>576</v>
      </c>
      <c r="J97" s="15">
        <v>7840</v>
      </c>
      <c r="K97" s="15" t="s">
        <v>42</v>
      </c>
      <c r="L97" s="15">
        <v>57366</v>
      </c>
      <c r="M97" s="21">
        <v>45876</v>
      </c>
    </row>
    <row r="98" spans="1:13" x14ac:dyDescent="0.25">
      <c r="A98" s="21">
        <v>45875</v>
      </c>
      <c r="B98" s="15" t="s">
        <v>327</v>
      </c>
      <c r="C98" s="12" t="s">
        <v>545</v>
      </c>
      <c r="D98" s="15" t="s">
        <v>15</v>
      </c>
      <c r="E98" s="15" t="s">
        <v>15</v>
      </c>
      <c r="F98" s="15" t="s">
        <v>41</v>
      </c>
      <c r="G98" s="22">
        <v>440</v>
      </c>
      <c r="H98" s="22">
        <f t="shared" si="6"/>
        <v>88</v>
      </c>
      <c r="I98" s="22">
        <f t="shared" si="5"/>
        <v>528</v>
      </c>
      <c r="J98" s="15">
        <v>7830</v>
      </c>
      <c r="K98" s="15" t="s">
        <v>234</v>
      </c>
      <c r="L98" s="15">
        <v>57367</v>
      </c>
      <c r="M98" s="21">
        <v>45876</v>
      </c>
    </row>
    <row r="99" spans="1:13" ht="25.5" x14ac:dyDescent="0.25">
      <c r="A99" s="21">
        <v>45839</v>
      </c>
      <c r="B99" s="15" t="s">
        <v>18</v>
      </c>
      <c r="C99" s="12" t="s">
        <v>340</v>
      </c>
      <c r="D99" s="15" t="s">
        <v>15</v>
      </c>
      <c r="E99" s="15" t="s">
        <v>15</v>
      </c>
      <c r="F99" s="15" t="s">
        <v>19</v>
      </c>
      <c r="G99" s="22">
        <v>171.08</v>
      </c>
      <c r="H99" s="22">
        <f t="shared" ref="H99:H128" si="7">G99*0.2</f>
        <v>34.216000000000001</v>
      </c>
      <c r="I99" s="22">
        <f t="shared" si="5"/>
        <v>205.29600000000002</v>
      </c>
      <c r="J99" s="15">
        <v>7800</v>
      </c>
      <c r="K99" s="15" t="s">
        <v>17</v>
      </c>
      <c r="L99" s="15">
        <v>1269714</v>
      </c>
      <c r="M99" s="21">
        <v>45876</v>
      </c>
    </row>
    <row r="100" spans="1:13" ht="25.5" x14ac:dyDescent="0.25">
      <c r="A100" s="21">
        <v>45869</v>
      </c>
      <c r="B100" s="15" t="s">
        <v>26</v>
      </c>
      <c r="C100" s="12" t="s">
        <v>341</v>
      </c>
      <c r="D100" s="15" t="s">
        <v>15</v>
      </c>
      <c r="E100" s="15" t="s">
        <v>15</v>
      </c>
      <c r="F100" s="15" t="s">
        <v>342</v>
      </c>
      <c r="G100" s="22">
        <v>37.840000000000003</v>
      </c>
      <c r="H100" s="22">
        <f t="shared" si="7"/>
        <v>7.5680000000000014</v>
      </c>
      <c r="I100" s="22">
        <f t="shared" si="5"/>
        <v>45.408000000000001</v>
      </c>
      <c r="J100" s="15">
        <v>7570</v>
      </c>
      <c r="K100" s="15" t="s">
        <v>44</v>
      </c>
      <c r="L100" s="15">
        <v>93675023</v>
      </c>
      <c r="M100" s="21">
        <v>45876</v>
      </c>
    </row>
    <row r="101" spans="1:13" ht="25.5" x14ac:dyDescent="0.25">
      <c r="A101" s="21">
        <v>45853</v>
      </c>
      <c r="B101" s="15" t="s">
        <v>20</v>
      </c>
      <c r="C101" s="12" t="s">
        <v>343</v>
      </c>
      <c r="D101" s="15" t="s">
        <v>15</v>
      </c>
      <c r="E101" s="15" t="s">
        <v>15</v>
      </c>
      <c r="F101" s="15" t="s">
        <v>21</v>
      </c>
      <c r="G101" s="22">
        <v>123</v>
      </c>
      <c r="H101" s="22">
        <f t="shared" si="7"/>
        <v>24.6</v>
      </c>
      <c r="I101" s="22">
        <f t="shared" si="5"/>
        <v>147.6</v>
      </c>
      <c r="J101" s="15">
        <v>7810</v>
      </c>
      <c r="K101" s="15" t="s">
        <v>22</v>
      </c>
      <c r="L101" s="15">
        <v>76042</v>
      </c>
      <c r="M101" s="21">
        <v>45876</v>
      </c>
    </row>
    <row r="102" spans="1:13" x14ac:dyDescent="0.25">
      <c r="A102" s="21">
        <v>45853</v>
      </c>
      <c r="B102" s="15" t="s">
        <v>26</v>
      </c>
      <c r="C102" s="12" t="s">
        <v>301</v>
      </c>
      <c r="D102" s="15" t="s">
        <v>302</v>
      </c>
      <c r="E102" s="15" t="s">
        <v>15</v>
      </c>
      <c r="F102" s="15" t="s">
        <v>37</v>
      </c>
      <c r="G102" s="22">
        <v>915.66</v>
      </c>
      <c r="H102" s="22">
        <f t="shared" si="7"/>
        <v>183.13200000000001</v>
      </c>
      <c r="I102" s="22">
        <f t="shared" si="5"/>
        <v>1098.7919999999999</v>
      </c>
      <c r="J102" s="15">
        <v>7530</v>
      </c>
      <c r="K102" s="15" t="s">
        <v>27</v>
      </c>
      <c r="L102" s="15" t="s">
        <v>344</v>
      </c>
      <c r="M102" s="21">
        <v>45876</v>
      </c>
    </row>
    <row r="103" spans="1:13" ht="25.5" x14ac:dyDescent="0.25">
      <c r="A103" s="21">
        <v>45853</v>
      </c>
      <c r="B103" s="15" t="s">
        <v>26</v>
      </c>
      <c r="C103" s="12" t="s">
        <v>345</v>
      </c>
      <c r="D103" s="15" t="s">
        <v>302</v>
      </c>
      <c r="E103" s="15" t="s">
        <v>15</v>
      </c>
      <c r="F103" s="15" t="s">
        <v>37</v>
      </c>
      <c r="G103" s="22">
        <v>12.96</v>
      </c>
      <c r="H103" s="22">
        <f t="shared" si="7"/>
        <v>2.5920000000000005</v>
      </c>
      <c r="I103" s="22">
        <f t="shared" ref="I103:I104" si="8">G103+H103</f>
        <v>15.552000000000001</v>
      </c>
      <c r="J103" s="15">
        <v>7530</v>
      </c>
      <c r="K103" s="15" t="s">
        <v>27</v>
      </c>
      <c r="L103" s="15" t="s">
        <v>346</v>
      </c>
      <c r="M103" s="21">
        <v>45877</v>
      </c>
    </row>
    <row r="104" spans="1:13" ht="25.5" x14ac:dyDescent="0.25">
      <c r="A104" s="21">
        <v>45873</v>
      </c>
      <c r="B104" s="15" t="s">
        <v>26</v>
      </c>
      <c r="C104" s="12" t="s">
        <v>347</v>
      </c>
      <c r="D104" s="15" t="s">
        <v>15</v>
      </c>
      <c r="E104" s="15" t="s">
        <v>15</v>
      </c>
      <c r="F104" s="15" t="s">
        <v>37</v>
      </c>
      <c r="G104" s="22">
        <v>10.08</v>
      </c>
      <c r="H104" s="22">
        <f t="shared" si="7"/>
        <v>2.016</v>
      </c>
      <c r="I104" s="22">
        <f t="shared" si="8"/>
        <v>12.096</v>
      </c>
      <c r="J104" s="15">
        <v>7570</v>
      </c>
      <c r="K104" s="15" t="s">
        <v>44</v>
      </c>
      <c r="L104" s="15" t="s">
        <v>348</v>
      </c>
      <c r="M104" s="21">
        <v>45877</v>
      </c>
    </row>
    <row r="105" spans="1:13" x14ac:dyDescent="0.25">
      <c r="A105" s="21">
        <v>45873</v>
      </c>
      <c r="B105" s="15" t="s">
        <v>26</v>
      </c>
      <c r="C105" s="12" t="s">
        <v>349</v>
      </c>
      <c r="D105" s="15" t="s">
        <v>302</v>
      </c>
      <c r="E105" s="15" t="s">
        <v>15</v>
      </c>
      <c r="F105" s="15" t="s">
        <v>37</v>
      </c>
      <c r="G105" s="22">
        <v>138.41999999999999</v>
      </c>
      <c r="H105" s="22">
        <f t="shared" si="7"/>
        <v>27.683999999999997</v>
      </c>
      <c r="I105" s="22">
        <f t="shared" ref="I105:I128" si="9">G105+H105</f>
        <v>166.10399999999998</v>
      </c>
      <c r="J105" s="15">
        <v>7530</v>
      </c>
      <c r="K105" s="15" t="s">
        <v>27</v>
      </c>
      <c r="L105" s="15" t="s">
        <v>350</v>
      </c>
      <c r="M105" s="21">
        <v>45876</v>
      </c>
    </row>
    <row r="106" spans="1:13" x14ac:dyDescent="0.25">
      <c r="A106" s="21">
        <v>45873</v>
      </c>
      <c r="B106" s="15" t="s">
        <v>26</v>
      </c>
      <c r="C106" s="12" t="s">
        <v>351</v>
      </c>
      <c r="D106" s="15" t="s">
        <v>15</v>
      </c>
      <c r="E106" s="15" t="s">
        <v>15</v>
      </c>
      <c r="F106" s="15" t="s">
        <v>37</v>
      </c>
      <c r="G106" s="22">
        <v>1237.08</v>
      </c>
      <c r="H106" s="22">
        <f t="shared" si="7"/>
        <v>247.416</v>
      </c>
      <c r="I106" s="22">
        <f t="shared" si="9"/>
        <v>1484.4959999999999</v>
      </c>
      <c r="J106" s="15">
        <v>7570</v>
      </c>
      <c r="K106" s="15" t="s">
        <v>44</v>
      </c>
      <c r="L106" s="15" t="s">
        <v>352</v>
      </c>
      <c r="M106" s="21">
        <v>45877</v>
      </c>
    </row>
    <row r="107" spans="1:13" x14ac:dyDescent="0.25">
      <c r="A107" s="21">
        <v>45852</v>
      </c>
      <c r="B107" s="15" t="s">
        <v>33</v>
      </c>
      <c r="C107" s="12" t="s">
        <v>353</v>
      </c>
      <c r="D107" s="15" t="s">
        <v>15</v>
      </c>
      <c r="E107" s="15" t="s">
        <v>15</v>
      </c>
      <c r="F107" s="15" t="s">
        <v>34</v>
      </c>
      <c r="G107" s="22">
        <v>365</v>
      </c>
      <c r="H107" s="22">
        <f t="shared" si="7"/>
        <v>73</v>
      </c>
      <c r="I107" s="22">
        <f t="shared" si="9"/>
        <v>438</v>
      </c>
      <c r="J107" s="15">
        <v>7080</v>
      </c>
      <c r="K107" s="15" t="s">
        <v>35</v>
      </c>
      <c r="L107" s="15" t="s">
        <v>354</v>
      </c>
      <c r="M107" s="21">
        <v>45876</v>
      </c>
    </row>
    <row r="108" spans="1:13" ht="25.5" x14ac:dyDescent="0.25">
      <c r="A108" s="21">
        <v>45839</v>
      </c>
      <c r="B108" s="15" t="s">
        <v>33</v>
      </c>
      <c r="C108" s="12" t="s">
        <v>355</v>
      </c>
      <c r="D108" s="15" t="s">
        <v>15</v>
      </c>
      <c r="E108" s="15" t="s">
        <v>15</v>
      </c>
      <c r="F108" s="15" t="s">
        <v>47</v>
      </c>
      <c r="G108" s="22">
        <v>14196</v>
      </c>
      <c r="H108" s="22">
        <f t="shared" si="7"/>
        <v>2839.2000000000003</v>
      </c>
      <c r="I108" s="22">
        <f t="shared" si="9"/>
        <v>17035.2</v>
      </c>
      <c r="J108" s="15">
        <v>1130</v>
      </c>
      <c r="K108" s="15" t="s">
        <v>46</v>
      </c>
      <c r="L108" s="15">
        <v>42487</v>
      </c>
      <c r="M108" s="21">
        <v>45876</v>
      </c>
    </row>
    <row r="109" spans="1:13" x14ac:dyDescent="0.25">
      <c r="A109" s="21">
        <v>45838</v>
      </c>
      <c r="B109" s="15" t="s">
        <v>33</v>
      </c>
      <c r="C109" s="12" t="s">
        <v>357</v>
      </c>
      <c r="D109" s="15" t="s">
        <v>15</v>
      </c>
      <c r="E109" s="15" t="s">
        <v>15</v>
      </c>
      <c r="F109" s="15" t="s">
        <v>356</v>
      </c>
      <c r="G109" s="22">
        <v>195</v>
      </c>
      <c r="H109" s="22">
        <f t="shared" si="7"/>
        <v>39</v>
      </c>
      <c r="I109" s="22">
        <f t="shared" si="9"/>
        <v>234</v>
      </c>
      <c r="J109" s="15">
        <v>7040</v>
      </c>
      <c r="K109" s="15" t="s">
        <v>358</v>
      </c>
      <c r="L109" s="15">
        <v>27653</v>
      </c>
      <c r="M109" s="21">
        <v>45876</v>
      </c>
    </row>
    <row r="110" spans="1:13" x14ac:dyDescent="0.25">
      <c r="A110" s="21">
        <v>45866</v>
      </c>
      <c r="B110" s="15" t="s">
        <v>33</v>
      </c>
      <c r="C110" s="12" t="s">
        <v>359</v>
      </c>
      <c r="D110" s="15" t="s">
        <v>15</v>
      </c>
      <c r="E110" s="15" t="s">
        <v>15</v>
      </c>
      <c r="F110" s="15" t="s">
        <v>221</v>
      </c>
      <c r="G110" s="22">
        <v>35.72</v>
      </c>
      <c r="H110" s="22">
        <f t="shared" si="7"/>
        <v>7.1440000000000001</v>
      </c>
      <c r="I110" s="22">
        <f t="shared" si="9"/>
        <v>42.863999999999997</v>
      </c>
      <c r="J110" s="15">
        <v>7530</v>
      </c>
      <c r="K110" s="15" t="s">
        <v>27</v>
      </c>
      <c r="L110" s="15">
        <v>1161558</v>
      </c>
      <c r="M110" s="21">
        <v>45876</v>
      </c>
    </row>
    <row r="111" spans="1:13" x14ac:dyDescent="0.25">
      <c r="A111" s="21">
        <v>45869</v>
      </c>
      <c r="B111" s="15" t="s">
        <v>26</v>
      </c>
      <c r="C111" s="12" t="s">
        <v>360</v>
      </c>
      <c r="D111" s="15" t="s">
        <v>15</v>
      </c>
      <c r="E111" s="15" t="s">
        <v>15</v>
      </c>
      <c r="F111" s="15" t="s">
        <v>221</v>
      </c>
      <c r="G111" s="22">
        <v>638.75</v>
      </c>
      <c r="H111" s="22">
        <f t="shared" si="7"/>
        <v>127.75</v>
      </c>
      <c r="I111" s="22">
        <f t="shared" si="9"/>
        <v>766.5</v>
      </c>
      <c r="J111" s="15">
        <v>7570</v>
      </c>
      <c r="K111" s="15" t="s">
        <v>44</v>
      </c>
      <c r="L111" s="15">
        <v>1162334</v>
      </c>
      <c r="M111" s="21">
        <v>45877</v>
      </c>
    </row>
    <row r="112" spans="1:13" x14ac:dyDescent="0.25">
      <c r="A112" s="21">
        <v>45874</v>
      </c>
      <c r="B112" s="15" t="s">
        <v>49</v>
      </c>
      <c r="C112" s="12" t="s">
        <v>361</v>
      </c>
      <c r="D112" s="15" t="s">
        <v>15</v>
      </c>
      <c r="E112" s="15" t="s">
        <v>15</v>
      </c>
      <c r="F112" s="15" t="s">
        <v>221</v>
      </c>
      <c r="G112" s="22">
        <v>84.5</v>
      </c>
      <c r="H112" s="22">
        <f t="shared" si="7"/>
        <v>16.900000000000002</v>
      </c>
      <c r="I112" s="22">
        <f t="shared" si="9"/>
        <v>101.4</v>
      </c>
      <c r="J112" s="15">
        <v>7530</v>
      </c>
      <c r="K112" s="15" t="s">
        <v>27</v>
      </c>
      <c r="L112" s="15">
        <v>1163150</v>
      </c>
      <c r="M112" s="21">
        <v>45877</v>
      </c>
    </row>
    <row r="113" spans="1:14" ht="25.5" x14ac:dyDescent="0.25">
      <c r="A113" s="21">
        <v>45855</v>
      </c>
      <c r="B113" s="15" t="s">
        <v>33</v>
      </c>
      <c r="C113" s="12" t="s">
        <v>362</v>
      </c>
      <c r="D113" s="15" t="s">
        <v>15</v>
      </c>
      <c r="E113" s="15" t="s">
        <v>15</v>
      </c>
      <c r="F113" s="15" t="s">
        <v>363</v>
      </c>
      <c r="G113" s="22">
        <v>134.74</v>
      </c>
      <c r="H113" s="22">
        <f t="shared" si="7"/>
        <v>26.948000000000004</v>
      </c>
      <c r="I113" s="22">
        <f t="shared" si="9"/>
        <v>161.68800000000002</v>
      </c>
      <c r="J113" s="15">
        <v>7570</v>
      </c>
      <c r="K113" s="15" t="s">
        <v>44</v>
      </c>
      <c r="L113" s="15">
        <v>6086974</v>
      </c>
      <c r="M113" s="21">
        <v>45917</v>
      </c>
    </row>
    <row r="114" spans="1:14" x14ac:dyDescent="0.25">
      <c r="A114" s="21">
        <v>45838</v>
      </c>
      <c r="B114" s="15" t="s">
        <v>23</v>
      </c>
      <c r="C114" s="12" t="s">
        <v>374</v>
      </c>
      <c r="D114" s="15" t="s">
        <v>15</v>
      </c>
      <c r="E114" s="15" t="s">
        <v>15</v>
      </c>
      <c r="F114" s="15" t="s">
        <v>277</v>
      </c>
      <c r="G114" s="22">
        <v>915</v>
      </c>
      <c r="H114" s="22">
        <f t="shared" si="7"/>
        <v>183</v>
      </c>
      <c r="I114" s="22">
        <f t="shared" si="9"/>
        <v>1098</v>
      </c>
      <c r="J114" s="15">
        <v>7810</v>
      </c>
      <c r="K114" s="15" t="s">
        <v>22</v>
      </c>
      <c r="L114" s="15" t="s">
        <v>375</v>
      </c>
      <c r="M114" s="21">
        <v>45876</v>
      </c>
      <c r="N114" s="15" t="s">
        <v>376</v>
      </c>
    </row>
    <row r="115" spans="1:14" ht="25.5" x14ac:dyDescent="0.25">
      <c r="A115" s="21">
        <v>45875</v>
      </c>
      <c r="B115" s="15" t="s">
        <v>26</v>
      </c>
      <c r="C115" s="12" t="s">
        <v>392</v>
      </c>
      <c r="D115" s="15" t="s">
        <v>15</v>
      </c>
      <c r="E115" s="15" t="s">
        <v>15</v>
      </c>
      <c r="F115" s="15" t="s">
        <v>221</v>
      </c>
      <c r="G115" s="22">
        <v>290.85000000000002</v>
      </c>
      <c r="H115" s="22">
        <f t="shared" si="7"/>
        <v>58.170000000000009</v>
      </c>
      <c r="I115" s="22">
        <f t="shared" si="9"/>
        <v>349.02000000000004</v>
      </c>
      <c r="J115" s="15">
        <v>7570</v>
      </c>
      <c r="K115" s="15" t="s">
        <v>44</v>
      </c>
      <c r="L115" s="15">
        <v>1163578</v>
      </c>
      <c r="M115" s="21">
        <v>45893</v>
      </c>
    </row>
    <row r="116" spans="1:14" x14ac:dyDescent="0.25">
      <c r="A116" s="21">
        <v>45875</v>
      </c>
      <c r="B116" s="15" t="s">
        <v>26</v>
      </c>
      <c r="C116" s="12" t="s">
        <v>389</v>
      </c>
      <c r="D116" s="15" t="s">
        <v>15</v>
      </c>
      <c r="E116" s="15" t="s">
        <v>15</v>
      </c>
      <c r="F116" s="15" t="s">
        <v>37</v>
      </c>
      <c r="G116" s="22">
        <v>685.3</v>
      </c>
      <c r="H116" s="22">
        <f t="shared" si="7"/>
        <v>137.06</v>
      </c>
      <c r="I116" s="22">
        <f t="shared" si="9"/>
        <v>822.3599999999999</v>
      </c>
      <c r="J116" s="15">
        <v>7530</v>
      </c>
      <c r="K116" s="15" t="s">
        <v>27</v>
      </c>
      <c r="L116" s="15" t="s">
        <v>390</v>
      </c>
      <c r="M116" s="21">
        <v>45877</v>
      </c>
    </row>
    <row r="117" spans="1:14" ht="15" customHeight="1" x14ac:dyDescent="0.25">
      <c r="A117" s="21">
        <v>45876</v>
      </c>
      <c r="B117" s="15" t="s">
        <v>26</v>
      </c>
      <c r="C117" s="12" t="s">
        <v>393</v>
      </c>
      <c r="D117" s="15" t="s">
        <v>15</v>
      </c>
      <c r="E117" s="15" t="s">
        <v>15</v>
      </c>
      <c r="F117" s="15" t="s">
        <v>320</v>
      </c>
      <c r="G117" s="22">
        <v>419.65</v>
      </c>
      <c r="H117" s="22">
        <f t="shared" si="7"/>
        <v>83.93</v>
      </c>
      <c r="I117" s="22">
        <f t="shared" si="9"/>
        <v>503.58</v>
      </c>
      <c r="J117" s="15">
        <v>7570</v>
      </c>
      <c r="K117" s="15" t="s">
        <v>44</v>
      </c>
      <c r="L117" s="15" t="s">
        <v>391</v>
      </c>
      <c r="M117" s="21">
        <v>45877</v>
      </c>
    </row>
    <row r="118" spans="1:14" x14ac:dyDescent="0.25">
      <c r="A118" s="21">
        <v>45870</v>
      </c>
      <c r="B118" s="15" t="s">
        <v>49</v>
      </c>
      <c r="C118" s="12" t="s">
        <v>396</v>
      </c>
      <c r="D118" s="15" t="s">
        <v>15</v>
      </c>
      <c r="E118" s="15" t="s">
        <v>15</v>
      </c>
      <c r="F118" s="15" t="s">
        <v>31</v>
      </c>
      <c r="G118" s="22">
        <v>425</v>
      </c>
      <c r="H118" s="22">
        <f t="shared" si="7"/>
        <v>85</v>
      </c>
      <c r="I118" s="22">
        <f t="shared" si="9"/>
        <v>510</v>
      </c>
      <c r="J118" s="15">
        <v>7520</v>
      </c>
      <c r="K118" s="15" t="s">
        <v>25</v>
      </c>
      <c r="L118" s="15">
        <v>10856232</v>
      </c>
      <c r="M118" s="21">
        <v>45877</v>
      </c>
    </row>
    <row r="119" spans="1:14" ht="25.5" x14ac:dyDescent="0.25">
      <c r="A119" s="21">
        <v>45833</v>
      </c>
      <c r="B119" s="15" t="s">
        <v>23</v>
      </c>
      <c r="C119" s="12" t="s">
        <v>425</v>
      </c>
      <c r="D119" s="15" t="s">
        <v>15</v>
      </c>
      <c r="E119" s="15" t="s">
        <v>15</v>
      </c>
      <c r="F119" s="15" t="s">
        <v>32</v>
      </c>
      <c r="G119" s="22">
        <v>820.91</v>
      </c>
      <c r="H119" s="22">
        <f t="shared" si="7"/>
        <v>164.18200000000002</v>
      </c>
      <c r="I119" s="22">
        <f t="shared" si="9"/>
        <v>985.09199999999998</v>
      </c>
      <c r="J119" s="15">
        <v>7810</v>
      </c>
      <c r="K119" s="15" t="s">
        <v>22</v>
      </c>
      <c r="L119" s="15">
        <v>97129</v>
      </c>
      <c r="M119" s="21">
        <v>45893</v>
      </c>
    </row>
    <row r="120" spans="1:14" ht="25.5" x14ac:dyDescent="0.25">
      <c r="A120" s="21">
        <v>45842</v>
      </c>
      <c r="B120" s="15" t="s">
        <v>397</v>
      </c>
      <c r="C120" s="12" t="s">
        <v>398</v>
      </c>
      <c r="D120" s="15" t="s">
        <v>15</v>
      </c>
      <c r="E120" s="15" t="s">
        <v>15</v>
      </c>
      <c r="F120" s="15" t="s">
        <v>32</v>
      </c>
      <c r="G120" s="22">
        <v>743.66</v>
      </c>
      <c r="H120" s="22">
        <f t="shared" si="7"/>
        <v>148.732</v>
      </c>
      <c r="I120" s="22">
        <f t="shared" si="9"/>
        <v>892.39199999999994</v>
      </c>
      <c r="J120" s="15">
        <v>7810</v>
      </c>
      <c r="K120" s="15" t="s">
        <v>22</v>
      </c>
      <c r="L120" s="15">
        <v>97302</v>
      </c>
      <c r="M120" s="21">
        <v>45877</v>
      </c>
    </row>
    <row r="121" spans="1:14" ht="25.5" x14ac:dyDescent="0.25">
      <c r="A121" s="21">
        <v>45877</v>
      </c>
      <c r="B121" s="15" t="s">
        <v>30</v>
      </c>
      <c r="C121" s="12" t="s">
        <v>399</v>
      </c>
      <c r="D121" s="15" t="s">
        <v>15</v>
      </c>
      <c r="E121" s="15" t="s">
        <v>15</v>
      </c>
      <c r="F121" s="15" t="s">
        <v>180</v>
      </c>
      <c r="G121" s="22">
        <v>23</v>
      </c>
      <c r="H121" s="22">
        <f t="shared" si="7"/>
        <v>4.6000000000000005</v>
      </c>
      <c r="I121" s="22">
        <f t="shared" si="9"/>
        <v>27.6</v>
      </c>
      <c r="J121" s="15">
        <v>7800</v>
      </c>
      <c r="K121" s="15" t="s">
        <v>17</v>
      </c>
      <c r="L121" s="15">
        <v>424375</v>
      </c>
      <c r="M121" s="21">
        <v>45893</v>
      </c>
    </row>
    <row r="122" spans="1:14" x14ac:dyDescent="0.25">
      <c r="A122" s="21">
        <v>45877</v>
      </c>
      <c r="B122" s="15" t="s">
        <v>61</v>
      </c>
      <c r="C122" s="12" t="s">
        <v>153</v>
      </c>
      <c r="D122" s="15" t="s">
        <v>15</v>
      </c>
      <c r="E122" s="21">
        <v>45876</v>
      </c>
      <c r="F122" s="15" t="s">
        <v>16</v>
      </c>
      <c r="G122" s="22">
        <v>255</v>
      </c>
      <c r="H122" s="22">
        <f t="shared" si="7"/>
        <v>51</v>
      </c>
      <c r="I122" s="22">
        <f t="shared" si="9"/>
        <v>306</v>
      </c>
      <c r="J122" s="15">
        <v>7800</v>
      </c>
      <c r="K122" s="15" t="s">
        <v>17</v>
      </c>
      <c r="L122" s="15" t="s">
        <v>400</v>
      </c>
      <c r="M122" s="21">
        <v>45893</v>
      </c>
    </row>
    <row r="123" spans="1:14" x14ac:dyDescent="0.25">
      <c r="A123" s="21">
        <v>45884</v>
      </c>
      <c r="B123" s="15" t="s">
        <v>217</v>
      </c>
      <c r="C123" s="12" t="s">
        <v>401</v>
      </c>
      <c r="D123" s="15" t="s">
        <v>15</v>
      </c>
      <c r="E123" s="15" t="s">
        <v>15</v>
      </c>
      <c r="F123" s="15" t="s">
        <v>19</v>
      </c>
      <c r="G123" s="22">
        <v>69</v>
      </c>
      <c r="H123" s="22">
        <f t="shared" si="7"/>
        <v>13.8</v>
      </c>
      <c r="I123" s="22">
        <f t="shared" si="9"/>
        <v>82.8</v>
      </c>
      <c r="J123" s="15">
        <v>7800</v>
      </c>
      <c r="K123" s="15" t="s">
        <v>17</v>
      </c>
      <c r="L123" s="15">
        <v>254461</v>
      </c>
    </row>
    <row r="124" spans="1:14" ht="25.5" x14ac:dyDescent="0.25">
      <c r="A124" s="21">
        <v>45883</v>
      </c>
      <c r="B124" s="15" t="s">
        <v>20</v>
      </c>
      <c r="C124" s="12" t="s">
        <v>402</v>
      </c>
      <c r="D124" s="15" t="s">
        <v>15</v>
      </c>
      <c r="E124" s="15" t="s">
        <v>15</v>
      </c>
      <c r="F124" s="15" t="s">
        <v>21</v>
      </c>
      <c r="G124" s="22">
        <v>123</v>
      </c>
      <c r="H124" s="22">
        <f t="shared" si="7"/>
        <v>24.6</v>
      </c>
      <c r="I124" s="22">
        <f t="shared" si="9"/>
        <v>147.6</v>
      </c>
      <c r="J124" s="15">
        <v>7810</v>
      </c>
      <c r="K124" s="15" t="s">
        <v>22</v>
      </c>
      <c r="L124" s="15">
        <v>76616</v>
      </c>
      <c r="M124" s="21">
        <v>45893</v>
      </c>
    </row>
    <row r="125" spans="1:14" x14ac:dyDescent="0.25">
      <c r="A125" s="21">
        <v>45881</v>
      </c>
      <c r="B125" s="15" t="s">
        <v>26</v>
      </c>
      <c r="C125" s="12" t="s">
        <v>349</v>
      </c>
      <c r="D125" s="15" t="s">
        <v>403</v>
      </c>
      <c r="E125" s="15" t="s">
        <v>15</v>
      </c>
      <c r="F125" s="15" t="s">
        <v>37</v>
      </c>
      <c r="G125" s="22">
        <v>323.14999999999998</v>
      </c>
      <c r="H125" s="22">
        <f t="shared" si="7"/>
        <v>64.63</v>
      </c>
      <c r="I125" s="22">
        <f t="shared" si="9"/>
        <v>387.78</v>
      </c>
      <c r="J125" s="15">
        <v>7530</v>
      </c>
      <c r="K125" s="15" t="s">
        <v>27</v>
      </c>
      <c r="L125" s="15" t="s">
        <v>404</v>
      </c>
      <c r="M125" s="21">
        <v>45893</v>
      </c>
    </row>
    <row r="126" spans="1:14" ht="25.5" x14ac:dyDescent="0.25">
      <c r="A126" s="21">
        <v>45881</v>
      </c>
      <c r="B126" s="15" t="s">
        <v>26</v>
      </c>
      <c r="C126" s="12" t="s">
        <v>474</v>
      </c>
      <c r="D126" s="15" t="s">
        <v>15</v>
      </c>
      <c r="E126" s="15" t="s">
        <v>15</v>
      </c>
      <c r="F126" s="15" t="s">
        <v>37</v>
      </c>
      <c r="G126" s="22">
        <v>335.12</v>
      </c>
      <c r="H126" s="22">
        <f t="shared" si="7"/>
        <v>67.024000000000001</v>
      </c>
      <c r="I126" s="22">
        <f t="shared" si="9"/>
        <v>402.14400000000001</v>
      </c>
      <c r="J126" s="15">
        <v>7570</v>
      </c>
      <c r="K126" s="15" t="s">
        <v>44</v>
      </c>
      <c r="L126" s="15" t="s">
        <v>405</v>
      </c>
      <c r="M126" s="21">
        <v>45917</v>
      </c>
    </row>
    <row r="127" spans="1:14" ht="25.5" x14ac:dyDescent="0.25">
      <c r="A127" s="21">
        <v>45876</v>
      </c>
      <c r="B127" s="15" t="s">
        <v>26</v>
      </c>
      <c r="C127" s="12" t="s">
        <v>406</v>
      </c>
      <c r="D127" s="15" t="s">
        <v>15</v>
      </c>
      <c r="E127" s="15" t="s">
        <v>15</v>
      </c>
      <c r="F127" s="15" t="s">
        <v>221</v>
      </c>
      <c r="G127" s="22">
        <v>550.26</v>
      </c>
      <c r="H127" s="22">
        <f t="shared" si="7"/>
        <v>110.05200000000001</v>
      </c>
      <c r="I127" s="22">
        <f t="shared" si="9"/>
        <v>660.31200000000001</v>
      </c>
      <c r="J127" s="15">
        <v>7570</v>
      </c>
      <c r="K127" s="15" t="s">
        <v>44</v>
      </c>
      <c r="L127" s="15">
        <v>1163778</v>
      </c>
      <c r="M127" s="21">
        <v>45917</v>
      </c>
    </row>
    <row r="128" spans="1:14" ht="25.5" x14ac:dyDescent="0.25">
      <c r="A128" s="21">
        <v>45877</v>
      </c>
      <c r="B128" s="15" t="s">
        <v>26</v>
      </c>
      <c r="C128" s="12" t="s">
        <v>407</v>
      </c>
      <c r="D128" s="15">
        <v>822986</v>
      </c>
      <c r="E128" s="15" t="s">
        <v>15</v>
      </c>
      <c r="F128" s="15" t="s">
        <v>408</v>
      </c>
      <c r="G128" s="22">
        <v>1267.01</v>
      </c>
      <c r="H128" s="22">
        <f t="shared" si="7"/>
        <v>253.40200000000002</v>
      </c>
      <c r="I128" s="22">
        <f t="shared" si="9"/>
        <v>1520.412</v>
      </c>
      <c r="J128" s="15">
        <v>7570</v>
      </c>
      <c r="K128" s="15" t="s">
        <v>44</v>
      </c>
      <c r="L128" s="15" t="s">
        <v>409</v>
      </c>
      <c r="M128" s="21">
        <v>45893</v>
      </c>
    </row>
    <row r="129" spans="1:13" x14ac:dyDescent="0.25">
      <c r="A129" s="21">
        <v>45887</v>
      </c>
      <c r="B129" s="15" t="s">
        <v>33</v>
      </c>
      <c r="C129" s="12" t="s">
        <v>413</v>
      </c>
      <c r="D129" s="15" t="s">
        <v>15</v>
      </c>
      <c r="E129" s="15" t="s">
        <v>15</v>
      </c>
      <c r="F129" s="15" t="s">
        <v>34</v>
      </c>
      <c r="G129" s="22">
        <v>365</v>
      </c>
      <c r="H129" s="22">
        <f t="shared" ref="H129:H132" si="10">G129*0.2</f>
        <v>73</v>
      </c>
      <c r="I129" s="22">
        <f t="shared" ref="I129:I132" si="11">G129+H129</f>
        <v>438</v>
      </c>
      <c r="J129" s="15">
        <v>7080</v>
      </c>
      <c r="K129" s="15" t="s">
        <v>35</v>
      </c>
      <c r="L129" s="15" t="s">
        <v>414</v>
      </c>
      <c r="M129" s="21">
        <v>45893</v>
      </c>
    </row>
    <row r="130" spans="1:13" x14ac:dyDescent="0.25">
      <c r="A130" s="21">
        <v>45869</v>
      </c>
      <c r="B130" s="15" t="s">
        <v>23</v>
      </c>
      <c r="C130" s="12" t="s">
        <v>426</v>
      </c>
      <c r="D130" s="15" t="s">
        <v>15</v>
      </c>
      <c r="E130" s="15" t="s">
        <v>15</v>
      </c>
      <c r="F130" s="15" t="s">
        <v>277</v>
      </c>
      <c r="G130" s="22">
        <v>890</v>
      </c>
      <c r="H130" s="22">
        <f t="shared" si="10"/>
        <v>178</v>
      </c>
      <c r="I130" s="22">
        <f t="shared" si="11"/>
        <v>1068</v>
      </c>
      <c r="J130" s="15">
        <v>7810</v>
      </c>
      <c r="K130" s="15" t="s">
        <v>22</v>
      </c>
      <c r="L130" s="15" t="s">
        <v>427</v>
      </c>
      <c r="M130" s="21">
        <v>45893</v>
      </c>
    </row>
    <row r="131" spans="1:13" x14ac:dyDescent="0.25">
      <c r="A131" s="21">
        <v>45869</v>
      </c>
      <c r="B131" s="15" t="s">
        <v>55</v>
      </c>
      <c r="C131" s="12" t="s">
        <v>428</v>
      </c>
      <c r="D131" s="15" t="s">
        <v>15</v>
      </c>
      <c r="E131" s="15" t="s">
        <v>15</v>
      </c>
      <c r="F131" s="15" t="s">
        <v>277</v>
      </c>
      <c r="G131" s="22">
        <v>-237.5</v>
      </c>
      <c r="H131" s="22">
        <f t="shared" si="10"/>
        <v>-47.5</v>
      </c>
      <c r="I131" s="22">
        <f t="shared" si="11"/>
        <v>-285</v>
      </c>
      <c r="J131" s="15">
        <v>7810</v>
      </c>
      <c r="K131" s="15" t="s">
        <v>22</v>
      </c>
      <c r="L131" s="15" t="s">
        <v>429</v>
      </c>
      <c r="M131" s="21">
        <v>45893</v>
      </c>
    </row>
    <row r="132" spans="1:13" x14ac:dyDescent="0.25">
      <c r="A132" s="21">
        <v>45896</v>
      </c>
      <c r="B132" s="15" t="s">
        <v>33</v>
      </c>
      <c r="C132" s="12" t="s">
        <v>430</v>
      </c>
      <c r="D132" s="15" t="s">
        <v>15</v>
      </c>
      <c r="E132" s="15" t="s">
        <v>15</v>
      </c>
      <c r="F132" s="15" t="s">
        <v>38</v>
      </c>
      <c r="G132" s="22">
        <v>20.78</v>
      </c>
      <c r="H132" s="22">
        <f t="shared" si="10"/>
        <v>4.1560000000000006</v>
      </c>
      <c r="I132" s="22">
        <f t="shared" si="11"/>
        <v>24.936</v>
      </c>
      <c r="J132" s="15">
        <v>7570</v>
      </c>
      <c r="K132" s="15" t="s">
        <v>44</v>
      </c>
      <c r="L132" s="15" t="s">
        <v>431</v>
      </c>
      <c r="M132" s="21">
        <v>45917</v>
      </c>
    </row>
    <row r="133" spans="1:13" x14ac:dyDescent="0.25">
      <c r="A133" s="21">
        <v>45910</v>
      </c>
      <c r="B133" s="15" t="s">
        <v>33</v>
      </c>
      <c r="C133" s="12" t="s">
        <v>435</v>
      </c>
      <c r="D133" s="15" t="s">
        <v>15</v>
      </c>
      <c r="E133" s="15" t="s">
        <v>15</v>
      </c>
      <c r="F133" s="15" t="s">
        <v>38</v>
      </c>
      <c r="G133" s="22">
        <v>122.08</v>
      </c>
      <c r="H133" s="22">
        <f t="shared" ref="H133" si="12">G133*0.2</f>
        <v>24.416</v>
      </c>
      <c r="I133" s="22">
        <f t="shared" ref="I133" si="13">G133+H133</f>
        <v>146.49600000000001</v>
      </c>
      <c r="J133" s="15">
        <v>7550</v>
      </c>
      <c r="K133" s="15" t="s">
        <v>432</v>
      </c>
      <c r="L133" s="15" t="s">
        <v>433</v>
      </c>
      <c r="M133" s="21">
        <v>45917</v>
      </c>
    </row>
    <row r="134" spans="1:13" x14ac:dyDescent="0.25">
      <c r="A134" s="21">
        <v>45910</v>
      </c>
      <c r="B134" s="15" t="s">
        <v>33</v>
      </c>
      <c r="C134" s="12" t="s">
        <v>434</v>
      </c>
      <c r="D134" s="15" t="s">
        <v>15</v>
      </c>
      <c r="E134" s="15" t="s">
        <v>15</v>
      </c>
      <c r="F134" s="15" t="s">
        <v>38</v>
      </c>
      <c r="G134" s="22">
        <v>22.47</v>
      </c>
      <c r="H134" s="22">
        <f t="shared" ref="H134:H137" si="14">G134*0.2</f>
        <v>4.4939999999999998</v>
      </c>
      <c r="I134" s="22">
        <f t="shared" ref="I134:I137" si="15">G134+H134</f>
        <v>26.963999999999999</v>
      </c>
      <c r="J134" s="15">
        <v>7550</v>
      </c>
      <c r="K134" s="15" t="s">
        <v>432</v>
      </c>
      <c r="L134" s="15" t="s">
        <v>433</v>
      </c>
      <c r="M134" s="21">
        <v>45917</v>
      </c>
    </row>
    <row r="135" spans="1:13" ht="25.5" x14ac:dyDescent="0.25">
      <c r="A135" s="21">
        <v>45905</v>
      </c>
      <c r="B135" s="15" t="s">
        <v>30</v>
      </c>
      <c r="C135" s="12" t="s">
        <v>436</v>
      </c>
      <c r="D135" s="15" t="s">
        <v>15</v>
      </c>
      <c r="E135" s="15" t="s">
        <v>15</v>
      </c>
      <c r="F135" s="15" t="s">
        <v>180</v>
      </c>
      <c r="G135" s="22">
        <v>23</v>
      </c>
      <c r="H135" s="22">
        <f t="shared" si="14"/>
        <v>4.6000000000000005</v>
      </c>
      <c r="I135" s="22">
        <f t="shared" si="15"/>
        <v>27.6</v>
      </c>
      <c r="J135" s="15">
        <v>7800</v>
      </c>
      <c r="K135" s="15" t="s">
        <v>17</v>
      </c>
      <c r="L135" s="15">
        <v>426176</v>
      </c>
      <c r="M135" s="21">
        <v>45917</v>
      </c>
    </row>
    <row r="136" spans="1:13" x14ac:dyDescent="0.25">
      <c r="A136" s="21">
        <v>45912</v>
      </c>
      <c r="B136" s="15" t="s">
        <v>269</v>
      </c>
      <c r="C136" s="12" t="s">
        <v>153</v>
      </c>
      <c r="D136" s="15" t="s">
        <v>15</v>
      </c>
      <c r="E136" s="21">
        <v>45909</v>
      </c>
      <c r="F136" s="15" t="s">
        <v>16</v>
      </c>
      <c r="G136" s="22">
        <v>290</v>
      </c>
      <c r="H136" s="22">
        <f t="shared" si="14"/>
        <v>58</v>
      </c>
      <c r="I136" s="22">
        <f t="shared" si="15"/>
        <v>348</v>
      </c>
      <c r="J136" s="15">
        <v>7800</v>
      </c>
      <c r="K136" s="15" t="s">
        <v>17</v>
      </c>
      <c r="L136" s="15" t="s">
        <v>437</v>
      </c>
      <c r="M136" s="21">
        <v>45917</v>
      </c>
    </row>
    <row r="137" spans="1:13" x14ac:dyDescent="0.25">
      <c r="A137" s="21">
        <v>45915</v>
      </c>
      <c r="B137" s="15" t="s">
        <v>29</v>
      </c>
      <c r="C137" s="12" t="s">
        <v>153</v>
      </c>
      <c r="D137" s="15" t="s">
        <v>15</v>
      </c>
      <c r="E137" s="21">
        <v>45910</v>
      </c>
      <c r="F137" s="15" t="s">
        <v>16</v>
      </c>
      <c r="G137" s="22">
        <v>480</v>
      </c>
      <c r="H137" s="22">
        <f t="shared" si="14"/>
        <v>96</v>
      </c>
      <c r="I137" s="22">
        <f t="shared" si="15"/>
        <v>576</v>
      </c>
      <c r="J137" s="15">
        <v>7800</v>
      </c>
      <c r="K137" s="15" t="s">
        <v>17</v>
      </c>
      <c r="L137" s="15" t="s">
        <v>438</v>
      </c>
      <c r="M137" s="21">
        <v>45917</v>
      </c>
    </row>
    <row r="138" spans="1:13" x14ac:dyDescent="0.25">
      <c r="A138" s="21">
        <v>45915</v>
      </c>
      <c r="B138" s="15" t="s">
        <v>74</v>
      </c>
      <c r="C138" s="12" t="s">
        <v>153</v>
      </c>
      <c r="D138" s="15" t="s">
        <v>15</v>
      </c>
      <c r="E138" s="21">
        <v>45903</v>
      </c>
      <c r="F138" s="15" t="s">
        <v>16</v>
      </c>
      <c r="G138" s="22">
        <v>275</v>
      </c>
      <c r="H138" s="22">
        <f t="shared" ref="H138:H140" si="16">G138*0.2</f>
        <v>55</v>
      </c>
      <c r="I138" s="22">
        <f t="shared" ref="I138:I140" si="17">G138+H138</f>
        <v>330</v>
      </c>
      <c r="J138" s="15">
        <v>7800</v>
      </c>
      <c r="K138" s="15" t="s">
        <v>17</v>
      </c>
      <c r="L138" s="15" t="s">
        <v>439</v>
      </c>
      <c r="M138" s="21">
        <v>45917</v>
      </c>
    </row>
    <row r="139" spans="1:13" ht="25.5" x14ac:dyDescent="0.25">
      <c r="A139" s="21">
        <v>45887</v>
      </c>
      <c r="B139" s="15" t="s">
        <v>23</v>
      </c>
      <c r="C139" s="12" t="s">
        <v>441</v>
      </c>
      <c r="D139" s="15" t="s">
        <v>15</v>
      </c>
      <c r="E139" s="15" t="s">
        <v>15</v>
      </c>
      <c r="F139" s="15" t="s">
        <v>501</v>
      </c>
      <c r="G139" s="22">
        <v>92.91</v>
      </c>
      <c r="H139" s="22">
        <f t="shared" si="16"/>
        <v>18.582000000000001</v>
      </c>
      <c r="I139" s="22">
        <f t="shared" si="17"/>
        <v>111.49199999999999</v>
      </c>
      <c r="J139" s="15">
        <v>7520</v>
      </c>
      <c r="K139" s="15" t="s">
        <v>25</v>
      </c>
      <c r="L139" s="15" t="s">
        <v>440</v>
      </c>
    </row>
    <row r="140" spans="1:13" x14ac:dyDescent="0.25">
      <c r="A140" s="21">
        <v>45894</v>
      </c>
      <c r="B140" s="15" t="s">
        <v>26</v>
      </c>
      <c r="C140" s="12" t="s">
        <v>451</v>
      </c>
      <c r="D140" s="15" t="s">
        <v>403</v>
      </c>
      <c r="E140" s="15" t="s">
        <v>15</v>
      </c>
      <c r="F140" s="15" t="s">
        <v>450</v>
      </c>
      <c r="G140" s="22">
        <v>178.1</v>
      </c>
      <c r="H140" s="22">
        <f t="shared" si="16"/>
        <v>35.619999999999997</v>
      </c>
      <c r="I140" s="22">
        <f t="shared" si="17"/>
        <v>213.72</v>
      </c>
      <c r="J140" s="15">
        <v>7070</v>
      </c>
      <c r="K140" s="15" t="s">
        <v>256</v>
      </c>
      <c r="L140" s="15">
        <v>250661</v>
      </c>
      <c r="M140" s="21">
        <v>45917</v>
      </c>
    </row>
    <row r="141" spans="1:13" x14ac:dyDescent="0.25">
      <c r="A141" s="21">
        <v>45894</v>
      </c>
      <c r="B141" s="15" t="s">
        <v>26</v>
      </c>
      <c r="C141" s="12" t="s">
        <v>452</v>
      </c>
      <c r="D141" s="15" t="s">
        <v>15</v>
      </c>
      <c r="E141" s="15" t="s">
        <v>15</v>
      </c>
      <c r="F141" s="15" t="s">
        <v>450</v>
      </c>
      <c r="G141" s="22">
        <v>2790.96</v>
      </c>
      <c r="H141" s="22">
        <f t="shared" ref="H141:H151" si="18">G141*0.2</f>
        <v>558.19200000000001</v>
      </c>
      <c r="I141" s="22">
        <f t="shared" ref="I141:I151" si="19">G141+H141</f>
        <v>3349.152</v>
      </c>
      <c r="J141" s="15">
        <v>7070</v>
      </c>
      <c r="K141" s="15" t="s">
        <v>256</v>
      </c>
      <c r="L141" s="15">
        <v>250660</v>
      </c>
      <c r="M141" s="21">
        <v>45917</v>
      </c>
    </row>
    <row r="142" spans="1:13" x14ac:dyDescent="0.25">
      <c r="A142" s="21">
        <v>45898</v>
      </c>
      <c r="B142" s="15" t="s">
        <v>262</v>
      </c>
      <c r="C142" s="12" t="s">
        <v>40</v>
      </c>
      <c r="D142" s="15" t="s">
        <v>15</v>
      </c>
      <c r="E142" s="15" t="s">
        <v>15</v>
      </c>
      <c r="F142" s="15" t="s">
        <v>41</v>
      </c>
      <c r="G142" s="22">
        <v>480</v>
      </c>
      <c r="H142" s="22">
        <f t="shared" si="18"/>
        <v>96</v>
      </c>
      <c r="I142" s="22">
        <f t="shared" si="19"/>
        <v>576</v>
      </c>
      <c r="J142" s="15">
        <v>7840</v>
      </c>
      <c r="K142" s="15" t="s">
        <v>42</v>
      </c>
      <c r="L142" s="15">
        <v>57472</v>
      </c>
      <c r="M142" s="21">
        <v>45943</v>
      </c>
    </row>
    <row r="143" spans="1:13" x14ac:dyDescent="0.25">
      <c r="A143" s="21">
        <v>45884</v>
      </c>
      <c r="B143" s="15" t="s">
        <v>217</v>
      </c>
      <c r="C143" s="12" t="s">
        <v>401</v>
      </c>
      <c r="D143" s="15" t="s">
        <v>15</v>
      </c>
      <c r="E143" s="15" t="s">
        <v>15</v>
      </c>
      <c r="F143" s="15" t="s">
        <v>19</v>
      </c>
      <c r="G143" s="22">
        <v>69</v>
      </c>
      <c r="H143" s="22">
        <f t="shared" si="18"/>
        <v>13.8</v>
      </c>
      <c r="I143" s="22">
        <f t="shared" si="19"/>
        <v>82.8</v>
      </c>
      <c r="J143" s="15">
        <v>7800</v>
      </c>
      <c r="K143" s="15" t="s">
        <v>17</v>
      </c>
      <c r="L143" s="15">
        <v>254461</v>
      </c>
      <c r="M143" s="21">
        <v>45917</v>
      </c>
    </row>
    <row r="144" spans="1:13" ht="25.5" x14ac:dyDescent="0.25">
      <c r="A144" s="21">
        <v>45896</v>
      </c>
      <c r="B144" s="15" t="s">
        <v>26</v>
      </c>
      <c r="C144" s="12" t="s">
        <v>464</v>
      </c>
      <c r="D144" s="15" t="s">
        <v>15</v>
      </c>
      <c r="E144" s="15" t="s">
        <v>15</v>
      </c>
      <c r="F144" s="15" t="s">
        <v>454</v>
      </c>
      <c r="G144" s="22">
        <v>1500</v>
      </c>
      <c r="H144" s="22">
        <f t="shared" si="18"/>
        <v>300</v>
      </c>
      <c r="I144" s="22">
        <f t="shared" si="19"/>
        <v>1800</v>
      </c>
      <c r="J144" s="15">
        <v>7570</v>
      </c>
      <c r="K144" s="15" t="s">
        <v>44</v>
      </c>
      <c r="L144" s="15" t="s">
        <v>455</v>
      </c>
      <c r="M144" s="21">
        <v>45943</v>
      </c>
    </row>
    <row r="145" spans="1:13" ht="25.5" x14ac:dyDescent="0.2">
      <c r="A145" s="21">
        <v>45869</v>
      </c>
      <c r="B145" s="15" t="s">
        <v>26</v>
      </c>
      <c r="C145" s="12" t="s">
        <v>453</v>
      </c>
      <c r="D145" s="15" t="s">
        <v>403</v>
      </c>
      <c r="E145" s="15" t="s">
        <v>15</v>
      </c>
      <c r="F145" s="15" t="s">
        <v>454</v>
      </c>
      <c r="G145" s="22">
        <v>1839.45</v>
      </c>
      <c r="H145" s="22">
        <f t="shared" si="18"/>
        <v>367.89000000000004</v>
      </c>
      <c r="I145" s="22">
        <f t="shared" si="19"/>
        <v>2207.34</v>
      </c>
      <c r="J145" s="15">
        <v>7530</v>
      </c>
      <c r="K145" s="15" t="s">
        <v>27</v>
      </c>
      <c r="L145" s="44" t="s">
        <v>456</v>
      </c>
      <c r="M145" s="21">
        <v>45943</v>
      </c>
    </row>
    <row r="146" spans="1:13" ht="25.5" x14ac:dyDescent="0.25">
      <c r="A146" s="21">
        <v>45910</v>
      </c>
      <c r="B146" s="15" t="s">
        <v>20</v>
      </c>
      <c r="C146" s="12" t="s">
        <v>457</v>
      </c>
      <c r="D146" s="15" t="s">
        <v>15</v>
      </c>
      <c r="E146" s="15" t="s">
        <v>15</v>
      </c>
      <c r="F146" s="15" t="s">
        <v>21</v>
      </c>
      <c r="G146" s="22">
        <v>123</v>
      </c>
      <c r="H146" s="22">
        <f t="shared" si="18"/>
        <v>24.6</v>
      </c>
      <c r="I146" s="22">
        <f t="shared" si="19"/>
        <v>147.6</v>
      </c>
      <c r="J146" s="15">
        <v>7810</v>
      </c>
      <c r="K146" s="15" t="s">
        <v>22</v>
      </c>
      <c r="L146" s="15">
        <v>77215</v>
      </c>
      <c r="M146" s="21">
        <v>45917</v>
      </c>
    </row>
    <row r="147" spans="1:13" ht="25.5" x14ac:dyDescent="0.25">
      <c r="A147" s="21">
        <v>45905</v>
      </c>
      <c r="B147" s="15" t="s">
        <v>26</v>
      </c>
      <c r="C147" s="12" t="s">
        <v>459</v>
      </c>
      <c r="D147" s="15" t="s">
        <v>15</v>
      </c>
      <c r="E147" s="15" t="s">
        <v>15</v>
      </c>
      <c r="F147" s="15" t="s">
        <v>37</v>
      </c>
      <c r="G147" s="22">
        <v>101.4</v>
      </c>
      <c r="H147" s="22">
        <f t="shared" si="18"/>
        <v>20.28</v>
      </c>
      <c r="I147" s="22">
        <f t="shared" si="19"/>
        <v>121.68</v>
      </c>
      <c r="J147" s="15">
        <v>7530</v>
      </c>
      <c r="K147" s="15" t="s">
        <v>27</v>
      </c>
      <c r="L147" s="15" t="s">
        <v>458</v>
      </c>
      <c r="M147" s="21">
        <v>45917</v>
      </c>
    </row>
    <row r="148" spans="1:13" ht="25.5" x14ac:dyDescent="0.25">
      <c r="A148" s="21">
        <v>45901</v>
      </c>
      <c r="B148" s="15" t="s">
        <v>26</v>
      </c>
      <c r="C148" s="12" t="s">
        <v>460</v>
      </c>
      <c r="D148" s="15" t="s">
        <v>15</v>
      </c>
      <c r="E148" s="15" t="s">
        <v>15</v>
      </c>
      <c r="F148" s="15" t="s">
        <v>37</v>
      </c>
      <c r="G148" s="22">
        <v>19.2</v>
      </c>
      <c r="H148" s="22">
        <f t="shared" si="18"/>
        <v>3.84</v>
      </c>
      <c r="I148" s="22">
        <f t="shared" si="19"/>
        <v>23.04</v>
      </c>
      <c r="J148" s="15">
        <v>7530</v>
      </c>
      <c r="K148" s="15" t="s">
        <v>27</v>
      </c>
      <c r="L148" s="15" t="s">
        <v>461</v>
      </c>
      <c r="M148" s="21"/>
    </row>
    <row r="149" spans="1:13" x14ac:dyDescent="0.25">
      <c r="A149" s="21">
        <v>45909</v>
      </c>
      <c r="B149" s="15" t="s">
        <v>33</v>
      </c>
      <c r="C149" s="12" t="s">
        <v>462</v>
      </c>
      <c r="D149" s="15" t="s">
        <v>15</v>
      </c>
      <c r="E149" s="15" t="s">
        <v>15</v>
      </c>
      <c r="F149" s="15" t="s">
        <v>34</v>
      </c>
      <c r="G149" s="22">
        <v>365</v>
      </c>
      <c r="H149" s="22">
        <f t="shared" si="18"/>
        <v>73</v>
      </c>
      <c r="I149" s="22">
        <f t="shared" si="19"/>
        <v>438</v>
      </c>
      <c r="J149" s="15">
        <v>7080</v>
      </c>
      <c r="K149" s="15" t="s">
        <v>35</v>
      </c>
      <c r="L149" s="15" t="s">
        <v>463</v>
      </c>
      <c r="M149" s="21">
        <v>45917</v>
      </c>
    </row>
    <row r="150" spans="1:13" x14ac:dyDescent="0.25">
      <c r="A150" s="21">
        <v>45937</v>
      </c>
      <c r="B150" s="15" t="s">
        <v>26</v>
      </c>
      <c r="C150" s="12" t="s">
        <v>475</v>
      </c>
      <c r="D150" s="15" t="s">
        <v>15</v>
      </c>
      <c r="E150" s="15" t="s">
        <v>15</v>
      </c>
      <c r="F150" s="15" t="s">
        <v>38</v>
      </c>
      <c r="G150" s="22">
        <v>80.7</v>
      </c>
      <c r="H150" s="22">
        <f t="shared" si="18"/>
        <v>16.14</v>
      </c>
      <c r="I150" s="22">
        <f t="shared" si="19"/>
        <v>96.84</v>
      </c>
      <c r="J150" s="15">
        <v>7570</v>
      </c>
      <c r="K150" s="15" t="s">
        <v>44</v>
      </c>
      <c r="L150" s="15" t="s">
        <v>476</v>
      </c>
      <c r="M150" s="21">
        <v>45942</v>
      </c>
    </row>
    <row r="151" spans="1:13" x14ac:dyDescent="0.25">
      <c r="A151" s="21">
        <v>45901</v>
      </c>
      <c r="B151" s="15" t="s">
        <v>26</v>
      </c>
      <c r="C151" s="12" t="s">
        <v>477</v>
      </c>
      <c r="D151" s="15" t="s">
        <v>15</v>
      </c>
      <c r="E151" s="15" t="s">
        <v>15</v>
      </c>
      <c r="F151" s="15" t="s">
        <v>37</v>
      </c>
      <c r="G151" s="22">
        <v>19.2</v>
      </c>
      <c r="H151" s="22">
        <f t="shared" si="18"/>
        <v>3.84</v>
      </c>
      <c r="I151" s="22">
        <f t="shared" si="19"/>
        <v>23.04</v>
      </c>
      <c r="J151" s="15">
        <v>7530</v>
      </c>
      <c r="K151" s="15" t="s">
        <v>27</v>
      </c>
      <c r="L151" s="15" t="s">
        <v>461</v>
      </c>
      <c r="M151" s="21">
        <v>45942</v>
      </c>
    </row>
    <row r="152" spans="1:13" ht="25.5" x14ac:dyDescent="0.25">
      <c r="A152" s="21">
        <v>45938</v>
      </c>
      <c r="B152" s="15" t="s">
        <v>26</v>
      </c>
      <c r="C152" s="12" t="s">
        <v>478</v>
      </c>
      <c r="D152" s="15" t="s">
        <v>15</v>
      </c>
      <c r="E152" s="15" t="s">
        <v>15</v>
      </c>
      <c r="F152" s="15" t="s">
        <v>37</v>
      </c>
      <c r="G152" s="22">
        <v>41.6</v>
      </c>
      <c r="H152" s="22">
        <f t="shared" ref="H152:H158" si="20">G152*0.2</f>
        <v>8.32</v>
      </c>
      <c r="I152" s="22">
        <f t="shared" ref="I152:I158" si="21">G152+H152</f>
        <v>49.92</v>
      </c>
      <c r="J152" s="15">
        <v>7530</v>
      </c>
      <c r="K152" s="15" t="s">
        <v>27</v>
      </c>
      <c r="L152" s="15" t="s">
        <v>479</v>
      </c>
      <c r="M152" s="21"/>
    </row>
    <row r="153" spans="1:13" x14ac:dyDescent="0.25">
      <c r="A153" s="21">
        <v>45926</v>
      </c>
      <c r="B153" s="15" t="s">
        <v>61</v>
      </c>
      <c r="C153" s="12" t="s">
        <v>480</v>
      </c>
      <c r="D153" s="15" t="s">
        <v>15</v>
      </c>
      <c r="E153" s="15" t="s">
        <v>15</v>
      </c>
      <c r="F153" s="15" t="s">
        <v>16</v>
      </c>
      <c r="G153" s="22">
        <v>1290</v>
      </c>
      <c r="H153" s="22">
        <f t="shared" si="20"/>
        <v>258</v>
      </c>
      <c r="I153" s="22">
        <f t="shared" si="21"/>
        <v>1548</v>
      </c>
      <c r="J153" s="15">
        <v>7800</v>
      </c>
      <c r="K153" s="15" t="s">
        <v>17</v>
      </c>
      <c r="L153" s="15" t="s">
        <v>481</v>
      </c>
      <c r="M153" s="21">
        <v>45943</v>
      </c>
    </row>
    <row r="154" spans="1:13" ht="25.5" x14ac:dyDescent="0.25">
      <c r="B154" s="15" t="s">
        <v>23</v>
      </c>
      <c r="C154" s="12" t="s">
        <v>482</v>
      </c>
      <c r="D154" s="15" t="s">
        <v>15</v>
      </c>
      <c r="E154" s="15" t="s">
        <v>15</v>
      </c>
      <c r="F154" s="15" t="s">
        <v>32</v>
      </c>
      <c r="G154" s="22">
        <v>805.46</v>
      </c>
      <c r="H154" s="22">
        <f t="shared" si="20"/>
        <v>161.09200000000001</v>
      </c>
      <c r="I154" s="22">
        <f t="shared" si="21"/>
        <v>966.55200000000002</v>
      </c>
      <c r="J154" s="15">
        <v>7810</v>
      </c>
      <c r="K154" s="15" t="s">
        <v>22</v>
      </c>
      <c r="L154" s="15">
        <v>98472</v>
      </c>
      <c r="M154" s="21">
        <v>45943</v>
      </c>
    </row>
    <row r="155" spans="1:13" x14ac:dyDescent="0.25">
      <c r="A155" s="21">
        <v>45929</v>
      </c>
      <c r="B155" s="15" t="s">
        <v>60</v>
      </c>
      <c r="C155" s="12" t="s">
        <v>483</v>
      </c>
      <c r="D155" s="15" t="s">
        <v>15</v>
      </c>
      <c r="E155" s="21">
        <v>45926</v>
      </c>
      <c r="F155" s="15" t="s">
        <v>16</v>
      </c>
      <c r="G155" s="22">
        <v>295</v>
      </c>
      <c r="H155" s="22">
        <f t="shared" si="20"/>
        <v>59</v>
      </c>
      <c r="I155" s="22">
        <f t="shared" si="21"/>
        <v>354</v>
      </c>
      <c r="J155" s="15">
        <v>7800</v>
      </c>
      <c r="K155" s="15" t="s">
        <v>17</v>
      </c>
      <c r="L155" s="15" t="s">
        <v>484</v>
      </c>
      <c r="M155" s="21">
        <v>45943</v>
      </c>
    </row>
    <row r="156" spans="1:13" x14ac:dyDescent="0.25">
      <c r="A156" s="21">
        <v>45917</v>
      </c>
      <c r="B156" s="15" t="s">
        <v>486</v>
      </c>
      <c r="C156" s="12" t="s">
        <v>487</v>
      </c>
      <c r="D156" s="15" t="s">
        <v>15</v>
      </c>
      <c r="E156" s="15" t="s">
        <v>15</v>
      </c>
      <c r="F156" s="15" t="s">
        <v>488</v>
      </c>
      <c r="G156" s="22">
        <v>350</v>
      </c>
      <c r="H156" s="22">
        <f t="shared" si="20"/>
        <v>70</v>
      </c>
      <c r="I156" s="22">
        <f t="shared" si="21"/>
        <v>420</v>
      </c>
      <c r="J156" s="15">
        <v>7800</v>
      </c>
      <c r="K156" s="15" t="s">
        <v>17</v>
      </c>
      <c r="L156" s="15">
        <v>77002</v>
      </c>
      <c r="M156" s="21">
        <v>45943</v>
      </c>
    </row>
    <row r="157" spans="1:13" x14ac:dyDescent="0.25">
      <c r="A157" s="21">
        <v>45930</v>
      </c>
      <c r="B157" s="15" t="s">
        <v>30</v>
      </c>
      <c r="C157" s="12" t="s">
        <v>489</v>
      </c>
      <c r="D157" s="15" t="s">
        <v>15</v>
      </c>
      <c r="E157" s="15" t="s">
        <v>15</v>
      </c>
      <c r="F157" s="15" t="s">
        <v>488</v>
      </c>
      <c r="G157" s="22">
        <v>450</v>
      </c>
      <c r="H157" s="22">
        <f t="shared" si="20"/>
        <v>90</v>
      </c>
      <c r="I157" s="22">
        <f t="shared" si="21"/>
        <v>540</v>
      </c>
      <c r="J157" s="15">
        <v>7830</v>
      </c>
      <c r="K157" s="15" t="s">
        <v>234</v>
      </c>
      <c r="L157" s="15">
        <v>77402</v>
      </c>
      <c r="M157" s="21">
        <v>45943</v>
      </c>
    </row>
    <row r="158" spans="1:13" x14ac:dyDescent="0.25">
      <c r="A158" s="21">
        <v>45951</v>
      </c>
      <c r="B158" s="15" t="s">
        <v>26</v>
      </c>
      <c r="C158" s="12" t="s">
        <v>475</v>
      </c>
      <c r="D158" s="15" t="s">
        <v>15</v>
      </c>
      <c r="E158" s="15" t="s">
        <v>15</v>
      </c>
      <c r="F158" s="15" t="s">
        <v>38</v>
      </c>
      <c r="G158" s="22">
        <v>40.35</v>
      </c>
      <c r="H158" s="22">
        <f t="shared" si="20"/>
        <v>8.07</v>
      </c>
      <c r="I158" s="22">
        <f t="shared" si="21"/>
        <v>48.42</v>
      </c>
      <c r="J158" s="15">
        <v>7570</v>
      </c>
      <c r="K158" s="15" t="s">
        <v>44</v>
      </c>
      <c r="L158" s="15" t="s">
        <v>490</v>
      </c>
      <c r="M158" s="21">
        <v>45964</v>
      </c>
    </row>
    <row r="159" spans="1:13" x14ac:dyDescent="0.25">
      <c r="A159" s="21">
        <v>45950</v>
      </c>
      <c r="B159" s="15" t="s">
        <v>26</v>
      </c>
      <c r="C159" s="12" t="s">
        <v>475</v>
      </c>
      <c r="D159" s="15" t="s">
        <v>15</v>
      </c>
      <c r="E159" s="15" t="s">
        <v>15</v>
      </c>
      <c r="F159" s="15" t="s">
        <v>38</v>
      </c>
      <c r="G159" s="22">
        <v>67.25</v>
      </c>
      <c r="H159" s="22">
        <f t="shared" ref="H159" si="22">G159*0.2</f>
        <v>13.450000000000001</v>
      </c>
      <c r="I159" s="22">
        <f t="shared" ref="I159" si="23">G159+H159</f>
        <v>80.7</v>
      </c>
      <c r="J159" s="15">
        <v>7570</v>
      </c>
      <c r="K159" s="15" t="s">
        <v>44</v>
      </c>
      <c r="L159" s="15" t="s">
        <v>491</v>
      </c>
      <c r="M159" s="21">
        <v>45964</v>
      </c>
    </row>
    <row r="160" spans="1:13" x14ac:dyDescent="0.25">
      <c r="A160" s="21">
        <v>45950</v>
      </c>
      <c r="B160" s="15" t="s">
        <v>26</v>
      </c>
      <c r="C160" s="12" t="s">
        <v>492</v>
      </c>
      <c r="D160" s="15" t="s">
        <v>15</v>
      </c>
      <c r="E160" s="15" t="s">
        <v>15</v>
      </c>
      <c r="F160" s="15" t="s">
        <v>38</v>
      </c>
      <c r="G160" s="22">
        <v>19.920000000000002</v>
      </c>
      <c r="H160" s="22">
        <f t="shared" ref="H160:H162" si="24">G160*0.2</f>
        <v>3.9840000000000004</v>
      </c>
      <c r="I160" s="22">
        <f t="shared" ref="I160:I162" si="25">G160+H160</f>
        <v>23.904000000000003</v>
      </c>
      <c r="J160" s="15">
        <v>7570</v>
      </c>
      <c r="K160" s="15" t="s">
        <v>44</v>
      </c>
      <c r="L160" s="15" t="s">
        <v>493</v>
      </c>
      <c r="M160" s="21">
        <v>45964</v>
      </c>
    </row>
    <row r="161" spans="1:13" x14ac:dyDescent="0.25">
      <c r="A161" s="21">
        <v>45953</v>
      </c>
      <c r="B161" s="15" t="s">
        <v>26</v>
      </c>
      <c r="C161" s="12" t="s">
        <v>494</v>
      </c>
      <c r="D161" s="15" t="s">
        <v>15</v>
      </c>
      <c r="E161" s="15" t="s">
        <v>15</v>
      </c>
      <c r="F161" s="15" t="s">
        <v>315</v>
      </c>
      <c r="G161" s="22">
        <v>159</v>
      </c>
      <c r="H161" s="22">
        <f t="shared" si="24"/>
        <v>31.8</v>
      </c>
      <c r="I161" s="22">
        <f t="shared" si="25"/>
        <v>190.8</v>
      </c>
      <c r="J161" s="15">
        <v>7570</v>
      </c>
      <c r="K161" s="15" t="s">
        <v>44</v>
      </c>
      <c r="L161" s="15">
        <v>6099</v>
      </c>
      <c r="M161" s="21">
        <v>45964</v>
      </c>
    </row>
    <row r="162" spans="1:13" x14ac:dyDescent="0.25">
      <c r="A162" s="21">
        <v>45951</v>
      </c>
      <c r="B162" s="15" t="s">
        <v>26</v>
      </c>
      <c r="C162" s="12" t="s">
        <v>496</v>
      </c>
      <c r="D162" s="15" t="s">
        <v>495</v>
      </c>
      <c r="E162" s="15" t="s">
        <v>15</v>
      </c>
      <c r="F162" s="15" t="s">
        <v>38</v>
      </c>
      <c r="G162" s="22">
        <v>249.38</v>
      </c>
      <c r="H162" s="22">
        <f t="shared" si="24"/>
        <v>49.876000000000005</v>
      </c>
      <c r="I162" s="22">
        <f t="shared" si="25"/>
        <v>299.25599999999997</v>
      </c>
      <c r="J162" s="15">
        <v>7530</v>
      </c>
      <c r="K162" s="15" t="s">
        <v>27</v>
      </c>
      <c r="L162" s="15" t="s">
        <v>497</v>
      </c>
      <c r="M162" s="21">
        <v>45964</v>
      </c>
    </row>
    <row r="163" spans="1:13" x14ac:dyDescent="0.25">
      <c r="A163" s="21">
        <v>45951</v>
      </c>
      <c r="B163" s="15" t="s">
        <v>26</v>
      </c>
      <c r="C163" s="12" t="s">
        <v>500</v>
      </c>
      <c r="D163" s="15" t="s">
        <v>15</v>
      </c>
      <c r="E163" s="15" t="s">
        <v>15</v>
      </c>
      <c r="F163" s="15" t="s">
        <v>38</v>
      </c>
      <c r="G163" s="22">
        <v>349.8</v>
      </c>
      <c r="H163" s="22">
        <f t="shared" ref="H163:H179" si="26">G163*0.2</f>
        <v>69.960000000000008</v>
      </c>
      <c r="I163" s="22">
        <f t="shared" ref="I163:I179" si="27">G163+H163</f>
        <v>419.76</v>
      </c>
      <c r="J163" s="15">
        <v>7570</v>
      </c>
      <c r="K163" s="15" t="s">
        <v>44</v>
      </c>
      <c r="L163" s="15" t="s">
        <v>498</v>
      </c>
      <c r="M163" s="21">
        <v>45964</v>
      </c>
    </row>
    <row r="164" spans="1:13" ht="25.5" x14ac:dyDescent="0.25">
      <c r="A164" s="21">
        <v>45940</v>
      </c>
      <c r="B164" s="15" t="s">
        <v>30</v>
      </c>
      <c r="C164" s="12" t="s">
        <v>499</v>
      </c>
      <c r="D164" s="15" t="s">
        <v>15</v>
      </c>
      <c r="E164" s="15" t="s">
        <v>15</v>
      </c>
      <c r="F164" s="15" t="s">
        <v>180</v>
      </c>
      <c r="G164" s="22">
        <v>23</v>
      </c>
      <c r="H164" s="22">
        <f t="shared" si="26"/>
        <v>4.6000000000000005</v>
      </c>
      <c r="I164" s="22">
        <f t="shared" si="27"/>
        <v>27.6</v>
      </c>
      <c r="J164" s="15">
        <v>7800</v>
      </c>
      <c r="K164" s="15" t="s">
        <v>17</v>
      </c>
      <c r="L164" s="15">
        <v>428211</v>
      </c>
      <c r="M164" s="21">
        <v>45964</v>
      </c>
    </row>
    <row r="165" spans="1:13" x14ac:dyDescent="0.25">
      <c r="A165" s="21">
        <v>45909</v>
      </c>
      <c r="B165" s="15" t="s">
        <v>23</v>
      </c>
      <c r="C165" s="12" t="s">
        <v>504</v>
      </c>
      <c r="D165" s="15" t="s">
        <v>15</v>
      </c>
      <c r="E165" s="15" t="s">
        <v>15</v>
      </c>
      <c r="F165" s="15" t="s">
        <v>501</v>
      </c>
      <c r="G165" s="22">
        <v>152.72</v>
      </c>
      <c r="H165" s="22">
        <f t="shared" si="26"/>
        <v>30.544</v>
      </c>
      <c r="I165" s="22">
        <f t="shared" si="27"/>
        <v>183.26400000000001</v>
      </c>
      <c r="J165" s="15">
        <v>7520</v>
      </c>
      <c r="K165" s="15" t="s">
        <v>25</v>
      </c>
      <c r="L165" s="15" t="s">
        <v>502</v>
      </c>
      <c r="M165" s="21">
        <v>45964</v>
      </c>
    </row>
    <row r="166" spans="1:13" x14ac:dyDescent="0.25">
      <c r="A166" s="21">
        <v>45950</v>
      </c>
      <c r="B166" s="15" t="s">
        <v>60</v>
      </c>
      <c r="C166" s="12" t="s">
        <v>504</v>
      </c>
      <c r="D166" s="15" t="s">
        <v>15</v>
      </c>
      <c r="E166" s="15" t="s">
        <v>15</v>
      </c>
      <c r="F166" s="15" t="s">
        <v>501</v>
      </c>
      <c r="G166" s="22">
        <v>375.92</v>
      </c>
      <c r="H166" s="22">
        <f t="shared" si="26"/>
        <v>75.184000000000012</v>
      </c>
      <c r="I166" s="22">
        <f t="shared" si="27"/>
        <v>451.10400000000004</v>
      </c>
      <c r="J166" s="15">
        <v>7520</v>
      </c>
      <c r="K166" s="15" t="s">
        <v>25</v>
      </c>
      <c r="L166" s="15" t="s">
        <v>503</v>
      </c>
      <c r="M166" s="21">
        <v>45964</v>
      </c>
    </row>
    <row r="167" spans="1:13" x14ac:dyDescent="0.25">
      <c r="A167" s="21">
        <v>45918</v>
      </c>
      <c r="B167" s="15" t="s">
        <v>23</v>
      </c>
      <c r="C167" s="12" t="s">
        <v>504</v>
      </c>
      <c r="D167" s="15" t="s">
        <v>15</v>
      </c>
      <c r="E167" s="15" t="s">
        <v>15</v>
      </c>
      <c r="F167" s="15" t="s">
        <v>501</v>
      </c>
      <c r="G167" s="22">
        <v>372.72</v>
      </c>
      <c r="H167" s="22">
        <f t="shared" si="26"/>
        <v>74.544000000000011</v>
      </c>
      <c r="I167" s="22">
        <f t="shared" si="27"/>
        <v>447.26400000000001</v>
      </c>
      <c r="J167" s="15">
        <v>7520</v>
      </c>
      <c r="K167" s="15" t="s">
        <v>25</v>
      </c>
      <c r="L167" s="15" t="s">
        <v>505</v>
      </c>
      <c r="M167" s="21">
        <v>45971</v>
      </c>
    </row>
    <row r="168" spans="1:13" x14ac:dyDescent="0.25">
      <c r="A168" s="21">
        <v>45948</v>
      </c>
      <c r="B168" s="15" t="s">
        <v>23</v>
      </c>
      <c r="C168" s="12" t="s">
        <v>504</v>
      </c>
      <c r="D168" s="15" t="s">
        <v>15</v>
      </c>
      <c r="E168" s="15" t="s">
        <v>15</v>
      </c>
      <c r="F168" s="15" t="s">
        <v>501</v>
      </c>
      <c r="G168" s="22">
        <v>224.71</v>
      </c>
      <c r="H168" s="22">
        <f t="shared" si="26"/>
        <v>44.942000000000007</v>
      </c>
      <c r="I168" s="22">
        <f t="shared" si="27"/>
        <v>269.65200000000004</v>
      </c>
      <c r="J168" s="15">
        <v>7520</v>
      </c>
      <c r="K168" s="15" t="s">
        <v>25</v>
      </c>
      <c r="L168" s="15" t="s">
        <v>506</v>
      </c>
      <c r="M168" s="21">
        <v>45971</v>
      </c>
    </row>
    <row r="169" spans="1:13" x14ac:dyDescent="0.25">
      <c r="A169" s="21">
        <v>45939</v>
      </c>
      <c r="B169" s="15" t="s">
        <v>23</v>
      </c>
      <c r="C169" s="12" t="s">
        <v>504</v>
      </c>
      <c r="D169" s="15" t="s">
        <v>15</v>
      </c>
      <c r="E169" s="15" t="s">
        <v>15</v>
      </c>
      <c r="F169" s="15" t="s">
        <v>501</v>
      </c>
      <c r="G169" s="22">
        <v>1889.56</v>
      </c>
      <c r="H169" s="22">
        <f t="shared" si="26"/>
        <v>377.91200000000003</v>
      </c>
      <c r="I169" s="22">
        <f t="shared" si="27"/>
        <v>2267.4719999999998</v>
      </c>
      <c r="J169" s="15">
        <v>7520</v>
      </c>
      <c r="K169" s="15" t="s">
        <v>25</v>
      </c>
      <c r="L169" s="15" t="s">
        <v>507</v>
      </c>
      <c r="M169" s="21">
        <v>45971</v>
      </c>
    </row>
    <row r="170" spans="1:13" x14ac:dyDescent="0.25">
      <c r="A170" s="21">
        <v>45964</v>
      </c>
      <c r="B170" s="15" t="s">
        <v>508</v>
      </c>
      <c r="C170" s="12" t="s">
        <v>509</v>
      </c>
      <c r="D170" s="15" t="s">
        <v>15</v>
      </c>
      <c r="E170" s="15" t="s">
        <v>15</v>
      </c>
      <c r="F170" s="15" t="s">
        <v>215</v>
      </c>
      <c r="G170" s="22">
        <v>297.5</v>
      </c>
      <c r="H170" s="22">
        <f t="shared" si="26"/>
        <v>59.5</v>
      </c>
      <c r="I170" s="22">
        <f t="shared" si="27"/>
        <v>357</v>
      </c>
      <c r="J170" s="15">
        <v>7830</v>
      </c>
      <c r="K170" s="15" t="s">
        <v>234</v>
      </c>
      <c r="L170" s="15">
        <v>204554</v>
      </c>
      <c r="M170" s="21">
        <v>45975</v>
      </c>
    </row>
    <row r="171" spans="1:13" x14ac:dyDescent="0.25">
      <c r="A171" s="21">
        <v>45960</v>
      </c>
      <c r="B171" s="15" t="s">
        <v>88</v>
      </c>
      <c r="C171" s="12" t="s">
        <v>509</v>
      </c>
      <c r="D171" s="15" t="s">
        <v>15</v>
      </c>
      <c r="E171" s="15" t="s">
        <v>15</v>
      </c>
      <c r="F171" s="15" t="s">
        <v>215</v>
      </c>
      <c r="G171" s="22">
        <v>297.5</v>
      </c>
      <c r="H171" s="22">
        <f t="shared" si="26"/>
        <v>59.5</v>
      </c>
      <c r="I171" s="22">
        <f t="shared" si="27"/>
        <v>357</v>
      </c>
      <c r="J171" s="15">
        <v>7830</v>
      </c>
      <c r="K171" s="15" t="s">
        <v>234</v>
      </c>
      <c r="L171" s="15">
        <v>204534</v>
      </c>
      <c r="M171" s="21">
        <v>45975</v>
      </c>
    </row>
    <row r="172" spans="1:13" ht="25.5" x14ac:dyDescent="0.25">
      <c r="A172" s="21">
        <v>45946</v>
      </c>
      <c r="B172" s="15" t="s">
        <v>510</v>
      </c>
      <c r="C172" s="12" t="s">
        <v>511</v>
      </c>
      <c r="D172" s="15" t="s">
        <v>15</v>
      </c>
      <c r="E172" s="15" t="s">
        <v>15</v>
      </c>
      <c r="F172" s="15" t="s">
        <v>215</v>
      </c>
      <c r="G172" s="22">
        <v>515.5</v>
      </c>
      <c r="H172" s="22">
        <f t="shared" si="26"/>
        <v>103.10000000000001</v>
      </c>
      <c r="I172" s="22">
        <f t="shared" si="27"/>
        <v>618.6</v>
      </c>
      <c r="J172" s="15">
        <v>7830</v>
      </c>
      <c r="K172" s="15" t="s">
        <v>234</v>
      </c>
      <c r="L172" s="15">
        <v>204397</v>
      </c>
      <c r="M172" s="21">
        <v>45975</v>
      </c>
    </row>
    <row r="173" spans="1:13" ht="25.5" x14ac:dyDescent="0.25">
      <c r="A173" s="21">
        <v>45946</v>
      </c>
      <c r="B173" s="15" t="s">
        <v>512</v>
      </c>
      <c r="C173" s="12" t="s">
        <v>513</v>
      </c>
      <c r="D173" s="15" t="s">
        <v>15</v>
      </c>
      <c r="E173" s="15" t="s">
        <v>15</v>
      </c>
      <c r="F173" s="15" t="s">
        <v>215</v>
      </c>
      <c r="G173" s="22">
        <v>515.5</v>
      </c>
      <c r="H173" s="22">
        <f t="shared" ref="H173" si="28">G173*0.2</f>
        <v>103.10000000000001</v>
      </c>
      <c r="I173" s="22">
        <f t="shared" ref="I173" si="29">G173+H173</f>
        <v>618.6</v>
      </c>
      <c r="J173" s="15">
        <v>7830</v>
      </c>
      <c r="K173" s="15" t="s">
        <v>234</v>
      </c>
      <c r="L173" s="15">
        <v>204397</v>
      </c>
      <c r="M173" s="21">
        <v>45975</v>
      </c>
    </row>
    <row r="174" spans="1:13" ht="25.5" x14ac:dyDescent="0.25">
      <c r="A174" s="21">
        <v>45946</v>
      </c>
      <c r="B174" s="15" t="s">
        <v>515</v>
      </c>
      <c r="C174" s="12" t="s">
        <v>514</v>
      </c>
      <c r="D174" s="15" t="s">
        <v>15</v>
      </c>
      <c r="E174" s="15" t="s">
        <v>15</v>
      </c>
      <c r="F174" s="15" t="s">
        <v>215</v>
      </c>
      <c r="G174" s="22">
        <v>396</v>
      </c>
      <c r="H174" s="22">
        <f t="shared" ref="H174" si="30">G174*0.2</f>
        <v>79.2</v>
      </c>
      <c r="I174" s="22">
        <f t="shared" ref="I174" si="31">G174+H174</f>
        <v>475.2</v>
      </c>
      <c r="J174" s="15">
        <v>7830</v>
      </c>
      <c r="K174" s="15" t="s">
        <v>234</v>
      </c>
      <c r="L174" s="15">
        <v>204434</v>
      </c>
      <c r="M174" s="21">
        <v>45975</v>
      </c>
    </row>
    <row r="175" spans="1:13" x14ac:dyDescent="0.25">
      <c r="A175" s="21">
        <v>45953</v>
      </c>
      <c r="B175" s="15" t="s">
        <v>516</v>
      </c>
      <c r="C175" s="12" t="s">
        <v>233</v>
      </c>
      <c r="D175" s="15" t="s">
        <v>15</v>
      </c>
      <c r="E175" s="15" t="s">
        <v>15</v>
      </c>
      <c r="F175" s="15" t="s">
        <v>215</v>
      </c>
      <c r="G175" s="22">
        <v>295</v>
      </c>
      <c r="H175" s="22">
        <f t="shared" si="26"/>
        <v>59</v>
      </c>
      <c r="I175" s="22">
        <f t="shared" si="27"/>
        <v>354</v>
      </c>
      <c r="J175" s="15">
        <v>7830</v>
      </c>
      <c r="K175" s="15" t="s">
        <v>234</v>
      </c>
      <c r="L175" s="15">
        <v>204471</v>
      </c>
      <c r="M175" s="21"/>
    </row>
    <row r="176" spans="1:13" ht="25.5" x14ac:dyDescent="0.25">
      <c r="A176" s="21">
        <v>45968</v>
      </c>
      <c r="B176" s="15" t="s">
        <v>30</v>
      </c>
      <c r="C176" s="12" t="s">
        <v>517</v>
      </c>
      <c r="D176" s="15" t="s">
        <v>15</v>
      </c>
      <c r="E176" s="15" t="s">
        <v>15</v>
      </c>
      <c r="F176" s="15" t="s">
        <v>180</v>
      </c>
      <c r="G176" s="22">
        <v>23</v>
      </c>
      <c r="H176" s="22">
        <f t="shared" si="26"/>
        <v>4.6000000000000005</v>
      </c>
      <c r="I176" s="22">
        <f t="shared" si="27"/>
        <v>27.6</v>
      </c>
      <c r="J176" s="15">
        <v>7800</v>
      </c>
      <c r="K176" s="15" t="s">
        <v>17</v>
      </c>
      <c r="L176" s="15">
        <v>430069</v>
      </c>
      <c r="M176" s="21">
        <v>45978</v>
      </c>
    </row>
    <row r="177" spans="1:13" x14ac:dyDescent="0.25">
      <c r="A177" s="21">
        <v>45987</v>
      </c>
      <c r="B177" s="15" t="s">
        <v>88</v>
      </c>
      <c r="C177" s="12" t="s">
        <v>536</v>
      </c>
      <c r="D177" s="15" t="s">
        <v>15</v>
      </c>
      <c r="E177" s="15" t="s">
        <v>15</v>
      </c>
      <c r="F177" s="15" t="s">
        <v>215</v>
      </c>
      <c r="G177" s="22">
        <v>107</v>
      </c>
      <c r="H177" s="22">
        <f t="shared" si="26"/>
        <v>21.400000000000002</v>
      </c>
      <c r="I177" s="22">
        <f t="shared" si="27"/>
        <v>128.4</v>
      </c>
      <c r="J177" s="15">
        <v>7800</v>
      </c>
      <c r="K177" s="15" t="s">
        <v>234</v>
      </c>
      <c r="L177" s="15">
        <v>204808</v>
      </c>
      <c r="M177" s="21">
        <v>46000</v>
      </c>
    </row>
    <row r="178" spans="1:13" x14ac:dyDescent="0.25">
      <c r="A178" s="21">
        <v>45978</v>
      </c>
      <c r="B178" s="15" t="s">
        <v>537</v>
      </c>
      <c r="C178" s="12" t="s">
        <v>538</v>
      </c>
      <c r="D178" s="15" t="s">
        <v>15</v>
      </c>
      <c r="E178" s="15" t="s">
        <v>15</v>
      </c>
      <c r="F178" s="15" t="s">
        <v>215</v>
      </c>
      <c r="G178" s="22">
        <v>75</v>
      </c>
      <c r="H178" s="22">
        <f t="shared" si="26"/>
        <v>15</v>
      </c>
      <c r="I178" s="22">
        <f t="shared" si="27"/>
        <v>90</v>
      </c>
      <c r="J178" s="15">
        <v>7800</v>
      </c>
      <c r="K178" s="15" t="s">
        <v>234</v>
      </c>
      <c r="L178" s="15">
        <v>204784</v>
      </c>
      <c r="M178" s="21">
        <v>46000</v>
      </c>
    </row>
    <row r="179" spans="1:13" x14ac:dyDescent="0.25">
      <c r="A179" s="21">
        <v>45978</v>
      </c>
      <c r="B179" s="15" t="s">
        <v>30</v>
      </c>
      <c r="C179" s="12" t="s">
        <v>538</v>
      </c>
      <c r="D179" s="15" t="s">
        <v>15</v>
      </c>
      <c r="E179" s="15" t="s">
        <v>15</v>
      </c>
      <c r="F179" s="15" t="s">
        <v>215</v>
      </c>
      <c r="G179" s="22">
        <v>75</v>
      </c>
      <c r="H179" s="22">
        <f t="shared" si="26"/>
        <v>15</v>
      </c>
      <c r="I179" s="22">
        <f t="shared" si="27"/>
        <v>90</v>
      </c>
      <c r="J179" s="15">
        <v>7800</v>
      </c>
      <c r="K179" s="15" t="s">
        <v>234</v>
      </c>
      <c r="L179" s="15">
        <v>204745</v>
      </c>
      <c r="M179" s="21">
        <v>46000</v>
      </c>
    </row>
    <row r="180" spans="1:13" ht="25.5" x14ac:dyDescent="0.25">
      <c r="A180" s="21">
        <v>45980</v>
      </c>
      <c r="B180" s="15" t="s">
        <v>539</v>
      </c>
      <c r="C180" s="12" t="s">
        <v>540</v>
      </c>
      <c r="D180" s="15" t="s">
        <v>15</v>
      </c>
      <c r="E180" s="15" t="s">
        <v>15</v>
      </c>
      <c r="F180" s="15" t="s">
        <v>215</v>
      </c>
      <c r="G180" s="22">
        <v>85</v>
      </c>
      <c r="H180" s="22">
        <f t="shared" ref="H180:H182" si="32">G180*0.2</f>
        <v>17</v>
      </c>
      <c r="I180" s="22">
        <f t="shared" ref="I180:I182" si="33">G180+H180</f>
        <v>102</v>
      </c>
      <c r="J180" s="15">
        <v>7800</v>
      </c>
      <c r="K180" s="15" t="s">
        <v>234</v>
      </c>
      <c r="L180" s="15">
        <v>204733</v>
      </c>
      <c r="M180" s="21">
        <v>46000</v>
      </c>
    </row>
    <row r="181" spans="1:13" x14ac:dyDescent="0.25">
      <c r="A181" s="21">
        <v>45973</v>
      </c>
      <c r="B181" s="15" t="s">
        <v>516</v>
      </c>
      <c r="C181" s="12" t="s">
        <v>538</v>
      </c>
      <c r="D181" s="15" t="s">
        <v>15</v>
      </c>
      <c r="E181" s="15" t="s">
        <v>15</v>
      </c>
      <c r="F181" s="15" t="s">
        <v>215</v>
      </c>
      <c r="G181" s="22">
        <v>150</v>
      </c>
      <c r="H181" s="22">
        <f t="shared" si="32"/>
        <v>30</v>
      </c>
      <c r="I181" s="22">
        <f t="shared" si="33"/>
        <v>180</v>
      </c>
      <c r="J181" s="15">
        <v>7800</v>
      </c>
      <c r="K181" s="15" t="s">
        <v>234</v>
      </c>
      <c r="L181" s="15">
        <v>204698</v>
      </c>
      <c r="M181" s="21">
        <v>46000</v>
      </c>
    </row>
    <row r="182" spans="1:13" x14ac:dyDescent="0.25">
      <c r="A182" s="21">
        <v>45986</v>
      </c>
      <c r="B182" s="15" t="s">
        <v>515</v>
      </c>
      <c r="C182" s="12" t="s">
        <v>545</v>
      </c>
      <c r="D182" s="15" t="s">
        <v>15</v>
      </c>
      <c r="E182" s="15" t="s">
        <v>15</v>
      </c>
      <c r="F182" s="15" t="s">
        <v>41</v>
      </c>
      <c r="G182" s="22">
        <v>480</v>
      </c>
      <c r="H182" s="22">
        <f t="shared" si="32"/>
        <v>96</v>
      </c>
      <c r="I182" s="22">
        <f t="shared" si="33"/>
        <v>576</v>
      </c>
      <c r="J182" s="15">
        <v>7830</v>
      </c>
      <c r="K182" s="15" t="s">
        <v>234</v>
      </c>
      <c r="L182" s="15">
        <v>57824</v>
      </c>
      <c r="M182" s="21">
        <v>46000</v>
      </c>
    </row>
    <row r="183" spans="1:13" x14ac:dyDescent="0.25">
      <c r="A183" s="21">
        <v>45986</v>
      </c>
      <c r="B183" s="15" t="s">
        <v>88</v>
      </c>
      <c r="C183" s="12" t="s">
        <v>545</v>
      </c>
      <c r="D183" s="15" t="s">
        <v>15</v>
      </c>
      <c r="E183" s="15" t="s">
        <v>15</v>
      </c>
      <c r="F183" s="15" t="s">
        <v>41</v>
      </c>
      <c r="G183" s="22">
        <v>480</v>
      </c>
      <c r="H183" s="22">
        <f t="shared" ref="H183:H189" si="34">G183*0.2</f>
        <v>96</v>
      </c>
      <c r="I183" s="22">
        <f t="shared" ref="I183:I189" si="35">G183+H183</f>
        <v>576</v>
      </c>
      <c r="J183" s="15">
        <v>7830</v>
      </c>
      <c r="K183" s="15" t="s">
        <v>234</v>
      </c>
      <c r="L183" s="15">
        <v>57823</v>
      </c>
      <c r="M183" s="21">
        <v>46000</v>
      </c>
    </row>
    <row r="184" spans="1:13" x14ac:dyDescent="0.25">
      <c r="H184" s="22">
        <f t="shared" si="34"/>
        <v>0</v>
      </c>
      <c r="I184" s="22">
        <f t="shared" si="35"/>
        <v>0</v>
      </c>
    </row>
    <row r="185" spans="1:13" x14ac:dyDescent="0.25">
      <c r="H185" s="22">
        <f t="shared" si="34"/>
        <v>0</v>
      </c>
      <c r="I185" s="22">
        <f t="shared" si="35"/>
        <v>0</v>
      </c>
    </row>
    <row r="186" spans="1:13" x14ac:dyDescent="0.25">
      <c r="A186" s="21">
        <v>45979</v>
      </c>
      <c r="B186" s="15" t="s">
        <v>419</v>
      </c>
      <c r="C186" s="12" t="s">
        <v>483</v>
      </c>
      <c r="D186" s="15" t="s">
        <v>15</v>
      </c>
      <c r="E186" s="21">
        <v>45973</v>
      </c>
      <c r="F186" s="15" t="s">
        <v>16</v>
      </c>
      <c r="G186" s="22">
        <v>300</v>
      </c>
      <c r="H186" s="22">
        <f t="shared" si="34"/>
        <v>60</v>
      </c>
      <c r="I186" s="22">
        <f t="shared" si="35"/>
        <v>360</v>
      </c>
      <c r="J186" s="15">
        <v>7800</v>
      </c>
      <c r="K186" s="15" t="s">
        <v>17</v>
      </c>
      <c r="L186" s="15" t="s">
        <v>546</v>
      </c>
      <c r="M186" s="21">
        <v>46001</v>
      </c>
    </row>
    <row r="187" spans="1:13" ht="25.5" x14ac:dyDescent="0.25">
      <c r="A187" s="21">
        <v>45936</v>
      </c>
      <c r="B187" s="15" t="s">
        <v>20</v>
      </c>
      <c r="C187" s="12" t="s">
        <v>547</v>
      </c>
      <c r="D187" s="15" t="s">
        <v>15</v>
      </c>
      <c r="E187" s="15" t="s">
        <v>15</v>
      </c>
      <c r="F187" s="15" t="s">
        <v>21</v>
      </c>
      <c r="G187" s="22">
        <v>123</v>
      </c>
      <c r="H187" s="22">
        <f t="shared" si="34"/>
        <v>24.6</v>
      </c>
      <c r="I187" s="22">
        <f t="shared" si="35"/>
        <v>147.6</v>
      </c>
      <c r="J187" s="15">
        <v>7810</v>
      </c>
      <c r="K187" s="15" t="s">
        <v>22</v>
      </c>
      <c r="L187" s="15">
        <v>77751</v>
      </c>
      <c r="M187" s="21">
        <v>46001</v>
      </c>
    </row>
    <row r="188" spans="1:13" ht="25.5" x14ac:dyDescent="0.25">
      <c r="A188" s="21">
        <v>45971</v>
      </c>
      <c r="B188" s="15" t="s">
        <v>20</v>
      </c>
      <c r="C188" s="12" t="s">
        <v>548</v>
      </c>
      <c r="D188" s="15" t="s">
        <v>15</v>
      </c>
      <c r="E188" s="15" t="s">
        <v>15</v>
      </c>
      <c r="F188" s="15" t="s">
        <v>21</v>
      </c>
      <c r="G188" s="22">
        <v>123</v>
      </c>
      <c r="H188" s="22">
        <f t="shared" si="34"/>
        <v>24.6</v>
      </c>
      <c r="I188" s="22">
        <f t="shared" si="35"/>
        <v>147.6</v>
      </c>
      <c r="J188" s="15">
        <v>7810</v>
      </c>
      <c r="K188" s="15" t="s">
        <v>22</v>
      </c>
      <c r="L188" s="15">
        <v>78348</v>
      </c>
      <c r="M188" s="21">
        <v>46001</v>
      </c>
    </row>
    <row r="189" spans="1:13" ht="25.5" x14ac:dyDescent="0.25">
      <c r="A189" s="21">
        <v>45994</v>
      </c>
      <c r="B189" s="15" t="s">
        <v>20</v>
      </c>
      <c r="C189" s="12" t="s">
        <v>549</v>
      </c>
      <c r="D189" s="15" t="s">
        <v>15</v>
      </c>
      <c r="E189" s="15" t="s">
        <v>15</v>
      </c>
      <c r="F189" s="15" t="s">
        <v>21</v>
      </c>
      <c r="G189" s="22">
        <v>123</v>
      </c>
      <c r="H189" s="22">
        <f t="shared" si="34"/>
        <v>24.6</v>
      </c>
      <c r="I189" s="22">
        <f t="shared" si="35"/>
        <v>147.6</v>
      </c>
      <c r="J189" s="15">
        <v>7810</v>
      </c>
      <c r="K189" s="15" t="s">
        <v>22</v>
      </c>
      <c r="L189" s="15">
        <v>78891</v>
      </c>
      <c r="M189" s="21">
        <v>46001</v>
      </c>
    </row>
  </sheetData>
  <autoFilter ref="A2:N186" xr:uid="{45D1C441-E195-4EB6-9B03-54AEA8FACE93}"/>
  <mergeCells count="1">
    <mergeCell ref="A1:M1"/>
  </mergeCells>
  <phoneticPr fontId="4" type="noConversion"/>
  <pageMargins left="0.7" right="0.7" top="0.75" bottom="0.75" header="0.3" footer="0.3"/>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D006C-E33E-4B10-8018-7B4D7DDDB81B}">
  <dimension ref="A1:M293"/>
  <sheetViews>
    <sheetView zoomScaleNormal="100" workbookViewId="0">
      <pane ySplit="2" topLeftCell="A61" activePane="bottomLeft" state="frozen"/>
      <selection pane="bottomLeft" activeCell="A69" sqref="A69"/>
    </sheetView>
  </sheetViews>
  <sheetFormatPr defaultColWidth="9.140625" defaultRowHeight="12.75" outlineLevelCol="1" x14ac:dyDescent="0.25"/>
  <cols>
    <col min="1" max="1" width="12.42578125" style="15" customWidth="1"/>
    <col min="2" max="2" width="16.42578125" style="15" bestFit="1" customWidth="1"/>
    <col min="3" max="3" width="79.140625" style="12" customWidth="1"/>
    <col min="4" max="4" width="13.28515625" style="15" customWidth="1"/>
    <col min="5" max="5" width="10.7109375" style="15" customWidth="1"/>
    <col min="6" max="7" width="9.5703125" style="22" customWidth="1" outlineLevel="1"/>
    <col min="8" max="8" width="9.5703125" style="22" customWidth="1"/>
    <col min="9" max="9" width="8.42578125" style="15" customWidth="1"/>
    <col min="10" max="10" width="21.42578125" style="15" bestFit="1" customWidth="1"/>
    <col min="11" max="11" width="12.42578125" style="15" customWidth="1"/>
    <col min="12" max="12" width="14.5703125" style="15" customWidth="1"/>
    <col min="13" max="13" width="16.85546875" style="15" bestFit="1" customWidth="1"/>
    <col min="14" max="16384" width="9.140625" style="15"/>
  </cols>
  <sheetData>
    <row r="1" spans="1:13" s="18" customFormat="1" x14ac:dyDescent="0.25">
      <c r="A1" s="46" t="s">
        <v>65</v>
      </c>
      <c r="B1" s="46"/>
      <c r="C1" s="46"/>
      <c r="D1" s="46"/>
      <c r="E1" s="46"/>
      <c r="F1" s="46"/>
      <c r="G1" s="46"/>
      <c r="H1" s="46"/>
      <c r="I1" s="46"/>
      <c r="J1" s="46"/>
      <c r="K1" s="47"/>
      <c r="L1" s="46"/>
      <c r="M1" s="17"/>
    </row>
    <row r="2" spans="1:13" s="27" customFormat="1" ht="25.5" x14ac:dyDescent="0.25">
      <c r="A2" s="24" t="s">
        <v>0</v>
      </c>
      <c r="B2" s="23" t="s">
        <v>1</v>
      </c>
      <c r="C2" s="23" t="s">
        <v>2</v>
      </c>
      <c r="D2" s="24" t="s">
        <v>4</v>
      </c>
      <c r="E2" s="23" t="s">
        <v>5</v>
      </c>
      <c r="F2" s="25" t="s">
        <v>6</v>
      </c>
      <c r="G2" s="25" t="s">
        <v>7</v>
      </c>
      <c r="H2" s="25" t="s">
        <v>8</v>
      </c>
      <c r="I2" s="26" t="s">
        <v>9</v>
      </c>
      <c r="J2" s="23" t="s">
        <v>10</v>
      </c>
      <c r="K2" s="23" t="s">
        <v>11</v>
      </c>
      <c r="L2" s="24" t="s">
        <v>12</v>
      </c>
      <c r="M2" s="23" t="s">
        <v>13</v>
      </c>
    </row>
    <row r="3" spans="1:13" x14ac:dyDescent="0.25">
      <c r="A3" s="21">
        <v>45749</v>
      </c>
      <c r="B3" s="15" t="s">
        <v>73</v>
      </c>
      <c r="C3" s="12" t="s">
        <v>155</v>
      </c>
      <c r="D3" s="21">
        <v>45744</v>
      </c>
      <c r="E3" s="15" t="s">
        <v>67</v>
      </c>
      <c r="F3" s="22">
        <v>595</v>
      </c>
      <c r="G3" s="22">
        <f t="shared" ref="G3:G39" si="0">SUM(F3/100*20)</f>
        <v>119</v>
      </c>
      <c r="H3" s="22">
        <f t="shared" ref="H3:H39" si="1">SUM(F3:G3)</f>
        <v>714</v>
      </c>
      <c r="I3" s="15">
        <v>7800</v>
      </c>
      <c r="J3" s="15" t="s">
        <v>17</v>
      </c>
      <c r="K3" s="15">
        <v>24336</v>
      </c>
      <c r="L3" s="40">
        <v>45784</v>
      </c>
    </row>
    <row r="4" spans="1:13" ht="25.5" x14ac:dyDescent="0.25">
      <c r="A4" s="21">
        <v>45749</v>
      </c>
      <c r="B4" s="15" t="s">
        <v>72</v>
      </c>
      <c r="C4" s="12" t="s">
        <v>157</v>
      </c>
      <c r="D4" s="21">
        <v>45748</v>
      </c>
      <c r="E4" s="15" t="s">
        <v>67</v>
      </c>
      <c r="F4" s="22">
        <v>1351.25</v>
      </c>
      <c r="G4" s="22">
        <f t="shared" si="0"/>
        <v>270.25</v>
      </c>
      <c r="H4" s="22">
        <f t="shared" si="1"/>
        <v>1621.5</v>
      </c>
      <c r="I4" s="15">
        <v>7800</v>
      </c>
      <c r="J4" s="15" t="s">
        <v>17</v>
      </c>
      <c r="K4" s="15">
        <v>24332</v>
      </c>
      <c r="L4" s="40">
        <v>45784</v>
      </c>
    </row>
    <row r="5" spans="1:13" ht="25.5" x14ac:dyDescent="0.25">
      <c r="A5" s="21">
        <v>45743</v>
      </c>
      <c r="B5" s="15" t="s">
        <v>20</v>
      </c>
      <c r="C5" s="12" t="s">
        <v>156</v>
      </c>
      <c r="D5" s="21">
        <v>45742</v>
      </c>
      <c r="E5" s="15" t="s">
        <v>67</v>
      </c>
      <c r="F5" s="22">
        <v>678.65</v>
      </c>
      <c r="G5" s="22">
        <f t="shared" si="0"/>
        <v>135.73000000000002</v>
      </c>
      <c r="H5" s="22">
        <f t="shared" si="1"/>
        <v>814.38</v>
      </c>
      <c r="I5" s="15">
        <v>7800</v>
      </c>
      <c r="J5" s="15" t="s">
        <v>17</v>
      </c>
      <c r="K5" s="15">
        <v>24324</v>
      </c>
      <c r="L5" s="40">
        <v>45784</v>
      </c>
    </row>
    <row r="6" spans="1:13" ht="25.5" x14ac:dyDescent="0.25">
      <c r="A6" s="21">
        <v>45743</v>
      </c>
      <c r="B6" s="15" t="s">
        <v>75</v>
      </c>
      <c r="C6" s="12" t="s">
        <v>158</v>
      </c>
      <c r="D6" s="21">
        <v>45742</v>
      </c>
      <c r="E6" s="15" t="s">
        <v>67</v>
      </c>
      <c r="F6" s="22">
        <v>861.75</v>
      </c>
      <c r="G6" s="22">
        <f t="shared" si="0"/>
        <v>172.35</v>
      </c>
      <c r="H6" s="22">
        <f t="shared" si="1"/>
        <v>1034.0999999999999</v>
      </c>
      <c r="I6" s="15">
        <v>7800</v>
      </c>
      <c r="J6" s="15" t="s">
        <v>17</v>
      </c>
      <c r="K6" s="15">
        <v>24327</v>
      </c>
      <c r="L6" s="40">
        <v>45784</v>
      </c>
    </row>
    <row r="7" spans="1:13" x14ac:dyDescent="0.25">
      <c r="A7" s="21">
        <v>45742</v>
      </c>
      <c r="B7" s="15" t="s">
        <v>86</v>
      </c>
      <c r="C7" s="12" t="s">
        <v>159</v>
      </c>
      <c r="D7" s="21">
        <v>45741</v>
      </c>
      <c r="E7" s="15" t="s">
        <v>67</v>
      </c>
      <c r="F7" s="22">
        <v>555.15</v>
      </c>
      <c r="G7" s="22">
        <f t="shared" si="0"/>
        <v>111.03</v>
      </c>
      <c r="H7" s="22">
        <f t="shared" si="1"/>
        <v>666.18</v>
      </c>
      <c r="I7" s="15">
        <v>7800</v>
      </c>
      <c r="J7" s="15" t="s">
        <v>17</v>
      </c>
      <c r="K7" s="15">
        <v>24319</v>
      </c>
      <c r="L7" s="40">
        <v>45784</v>
      </c>
    </row>
    <row r="8" spans="1:13" x14ac:dyDescent="0.25">
      <c r="A8" s="21">
        <v>45740</v>
      </c>
      <c r="B8" s="15" t="s">
        <v>68</v>
      </c>
      <c r="C8" s="12" t="s">
        <v>160</v>
      </c>
      <c r="D8" s="21">
        <v>45737</v>
      </c>
      <c r="E8" s="15" t="s">
        <v>67</v>
      </c>
      <c r="F8" s="22">
        <v>613.79999999999995</v>
      </c>
      <c r="G8" s="22">
        <f t="shared" si="0"/>
        <v>122.75999999999999</v>
      </c>
      <c r="H8" s="22">
        <f t="shared" si="1"/>
        <v>736.56</v>
      </c>
      <c r="I8" s="15">
        <v>7800</v>
      </c>
      <c r="J8" s="15" t="s">
        <v>17</v>
      </c>
      <c r="K8" s="15">
        <v>24314</v>
      </c>
      <c r="L8" s="40">
        <v>45784</v>
      </c>
    </row>
    <row r="9" spans="1:13" x14ac:dyDescent="0.25">
      <c r="A9" s="21">
        <v>45740</v>
      </c>
      <c r="B9" s="15" t="s">
        <v>68</v>
      </c>
      <c r="C9" s="12" t="s">
        <v>161</v>
      </c>
      <c r="D9" s="21">
        <v>45737</v>
      </c>
      <c r="E9" s="15" t="s">
        <v>67</v>
      </c>
      <c r="F9" s="22">
        <v>885</v>
      </c>
      <c r="G9" s="22">
        <f t="shared" si="0"/>
        <v>177</v>
      </c>
      <c r="H9" s="22">
        <f t="shared" si="1"/>
        <v>1062</v>
      </c>
      <c r="I9" s="15">
        <v>7800</v>
      </c>
      <c r="J9" s="15" t="s">
        <v>17</v>
      </c>
      <c r="K9" s="15">
        <v>24313</v>
      </c>
      <c r="L9" s="40">
        <v>45784</v>
      </c>
    </row>
    <row r="10" spans="1:13" x14ac:dyDescent="0.25">
      <c r="A10" s="21">
        <v>45749</v>
      </c>
      <c r="B10" s="15" t="s">
        <v>80</v>
      </c>
      <c r="C10" s="12" t="s">
        <v>162</v>
      </c>
      <c r="D10" s="21">
        <v>45749</v>
      </c>
      <c r="E10" s="15" t="s">
        <v>67</v>
      </c>
      <c r="F10" s="22">
        <v>595.95000000000005</v>
      </c>
      <c r="G10" s="22">
        <f t="shared" si="0"/>
        <v>119.19</v>
      </c>
      <c r="H10" s="22">
        <f t="shared" si="1"/>
        <v>715.1400000000001</v>
      </c>
      <c r="I10" s="15">
        <v>7800</v>
      </c>
      <c r="J10" s="15" t="s">
        <v>17</v>
      </c>
      <c r="K10" s="15">
        <v>24338</v>
      </c>
      <c r="L10" s="40">
        <v>45784</v>
      </c>
    </row>
    <row r="11" spans="1:13" x14ac:dyDescent="0.25">
      <c r="A11" s="21">
        <v>45756</v>
      </c>
      <c r="B11" s="15" t="s">
        <v>79</v>
      </c>
      <c r="C11" s="12" t="s">
        <v>160</v>
      </c>
      <c r="D11" s="21">
        <v>45755</v>
      </c>
      <c r="E11" s="15" t="s">
        <v>67</v>
      </c>
      <c r="F11" s="22">
        <v>608.70000000000005</v>
      </c>
      <c r="G11" s="22">
        <f t="shared" si="0"/>
        <v>121.74000000000001</v>
      </c>
      <c r="H11" s="22">
        <f t="shared" si="1"/>
        <v>730.44</v>
      </c>
      <c r="I11" s="15">
        <v>7800</v>
      </c>
      <c r="J11" s="15" t="s">
        <v>17</v>
      </c>
      <c r="K11" s="15">
        <v>24368</v>
      </c>
      <c r="L11" s="40">
        <v>45784</v>
      </c>
    </row>
    <row r="12" spans="1:13" x14ac:dyDescent="0.25">
      <c r="A12" s="21">
        <v>45761</v>
      </c>
      <c r="B12" s="15" t="s">
        <v>60</v>
      </c>
      <c r="C12" s="12" t="s">
        <v>163</v>
      </c>
      <c r="D12" s="21">
        <v>45757</v>
      </c>
      <c r="E12" s="15" t="s">
        <v>67</v>
      </c>
      <c r="F12" s="22">
        <v>608.70000000000005</v>
      </c>
      <c r="G12" s="22">
        <f t="shared" si="0"/>
        <v>121.74000000000001</v>
      </c>
      <c r="H12" s="22">
        <f t="shared" si="1"/>
        <v>730.44</v>
      </c>
      <c r="I12" s="15">
        <v>7800</v>
      </c>
      <c r="J12" s="15" t="s">
        <v>17</v>
      </c>
      <c r="K12" s="15">
        <v>24388</v>
      </c>
      <c r="L12" s="40">
        <v>45784</v>
      </c>
    </row>
    <row r="13" spans="1:13" x14ac:dyDescent="0.25">
      <c r="A13" s="21">
        <v>45761</v>
      </c>
      <c r="B13" s="15" t="s">
        <v>72</v>
      </c>
      <c r="C13" s="12" t="s">
        <v>164</v>
      </c>
      <c r="D13" s="21">
        <v>45761</v>
      </c>
      <c r="E13" s="15" t="s">
        <v>67</v>
      </c>
      <c r="F13" s="22">
        <v>660</v>
      </c>
      <c r="G13" s="22">
        <f t="shared" si="0"/>
        <v>132</v>
      </c>
      <c r="H13" s="22">
        <f t="shared" si="1"/>
        <v>792</v>
      </c>
      <c r="I13" s="15">
        <v>7800</v>
      </c>
      <c r="J13" s="15" t="s">
        <v>17</v>
      </c>
      <c r="K13" s="15">
        <v>24384</v>
      </c>
      <c r="L13" s="40">
        <v>45790</v>
      </c>
    </row>
    <row r="14" spans="1:13" x14ac:dyDescent="0.25">
      <c r="A14" s="21">
        <v>45761</v>
      </c>
      <c r="B14" s="15" t="s">
        <v>73</v>
      </c>
      <c r="C14" s="12" t="s">
        <v>165</v>
      </c>
      <c r="D14" s="21">
        <v>45751</v>
      </c>
      <c r="E14" s="15" t="s">
        <v>67</v>
      </c>
      <c r="F14" s="22">
        <v>689</v>
      </c>
      <c r="G14" s="22">
        <f t="shared" si="0"/>
        <v>137.79999999999998</v>
      </c>
      <c r="H14" s="22">
        <f t="shared" si="1"/>
        <v>826.8</v>
      </c>
      <c r="I14" s="15">
        <v>7800</v>
      </c>
      <c r="J14" s="15" t="s">
        <v>17</v>
      </c>
      <c r="K14" s="15">
        <v>24387</v>
      </c>
      <c r="L14" s="40">
        <v>45784</v>
      </c>
    </row>
    <row r="15" spans="1:13" x14ac:dyDescent="0.25">
      <c r="A15" s="21">
        <v>45761</v>
      </c>
      <c r="B15" s="15" t="s">
        <v>71</v>
      </c>
      <c r="C15" s="12" t="s">
        <v>166</v>
      </c>
      <c r="D15" s="21">
        <v>45757</v>
      </c>
      <c r="E15" s="15" t="s">
        <v>67</v>
      </c>
      <c r="F15" s="22">
        <v>544.95000000000005</v>
      </c>
      <c r="G15" s="22">
        <f t="shared" si="0"/>
        <v>108.99000000000001</v>
      </c>
      <c r="H15" s="22">
        <f t="shared" si="1"/>
        <v>653.94000000000005</v>
      </c>
      <c r="I15" s="15">
        <v>7800</v>
      </c>
      <c r="J15" s="15" t="s">
        <v>17</v>
      </c>
      <c r="K15" s="15">
        <v>24389</v>
      </c>
      <c r="L15" s="40">
        <v>45784</v>
      </c>
    </row>
    <row r="16" spans="1:13" x14ac:dyDescent="0.25">
      <c r="A16" s="21">
        <v>45770</v>
      </c>
      <c r="B16" s="15" t="s">
        <v>70</v>
      </c>
      <c r="C16" s="12" t="s">
        <v>168</v>
      </c>
      <c r="D16" s="21">
        <v>45770</v>
      </c>
      <c r="E16" s="15" t="s">
        <v>67</v>
      </c>
      <c r="F16" s="22">
        <v>580</v>
      </c>
      <c r="G16" s="22">
        <f t="shared" si="0"/>
        <v>116</v>
      </c>
      <c r="H16" s="22">
        <f t="shared" si="1"/>
        <v>696</v>
      </c>
      <c r="I16" s="15">
        <v>7800</v>
      </c>
      <c r="J16" s="15" t="s">
        <v>17</v>
      </c>
      <c r="K16" s="15">
        <v>24406</v>
      </c>
      <c r="L16" s="40">
        <v>45784</v>
      </c>
    </row>
    <row r="17" spans="1:12" ht="25.5" x14ac:dyDescent="0.25">
      <c r="A17" s="21">
        <v>45770</v>
      </c>
      <c r="B17" s="15" t="s">
        <v>59</v>
      </c>
      <c r="C17" s="12" t="s">
        <v>167</v>
      </c>
      <c r="D17" s="21">
        <v>45723</v>
      </c>
      <c r="E17" s="15" t="s">
        <v>67</v>
      </c>
      <c r="F17" s="22">
        <v>570</v>
      </c>
      <c r="G17" s="22">
        <f t="shared" si="0"/>
        <v>114</v>
      </c>
      <c r="H17" s="22">
        <f t="shared" si="1"/>
        <v>684</v>
      </c>
      <c r="I17" s="15">
        <v>7800</v>
      </c>
      <c r="J17" s="15" t="s">
        <v>17</v>
      </c>
      <c r="K17" s="15">
        <v>24397</v>
      </c>
      <c r="L17" s="21">
        <v>45784</v>
      </c>
    </row>
    <row r="18" spans="1:12" x14ac:dyDescent="0.25">
      <c r="A18" s="21">
        <v>45770</v>
      </c>
      <c r="B18" s="15" t="s">
        <v>77</v>
      </c>
      <c r="C18" s="12" t="s">
        <v>169</v>
      </c>
      <c r="D18" s="21">
        <v>45769</v>
      </c>
      <c r="E18" s="15" t="s">
        <v>67</v>
      </c>
      <c r="F18" s="22">
        <v>542.4</v>
      </c>
      <c r="G18" s="22">
        <f t="shared" si="0"/>
        <v>108.47999999999999</v>
      </c>
      <c r="H18" s="22">
        <f t="shared" si="1"/>
        <v>650.88</v>
      </c>
      <c r="I18" s="15">
        <v>7800</v>
      </c>
      <c r="J18" s="15" t="s">
        <v>17</v>
      </c>
      <c r="K18" s="15">
        <v>24399</v>
      </c>
      <c r="L18" s="21">
        <v>45784</v>
      </c>
    </row>
    <row r="19" spans="1:12" x14ac:dyDescent="0.25">
      <c r="A19" s="21">
        <v>45784</v>
      </c>
      <c r="B19" s="15" t="s">
        <v>51</v>
      </c>
      <c r="C19" s="12" t="s">
        <v>181</v>
      </c>
      <c r="D19" s="21">
        <v>45783</v>
      </c>
      <c r="E19" s="15" t="s">
        <v>67</v>
      </c>
      <c r="F19" s="22">
        <v>573</v>
      </c>
      <c r="G19" s="22">
        <f t="shared" si="0"/>
        <v>114.60000000000001</v>
      </c>
      <c r="H19" s="22">
        <f t="shared" si="1"/>
        <v>687.6</v>
      </c>
      <c r="I19" s="15">
        <v>7800</v>
      </c>
      <c r="J19" s="15" t="s">
        <v>17</v>
      </c>
      <c r="K19" s="15">
        <v>24443</v>
      </c>
      <c r="L19" s="21">
        <v>45790</v>
      </c>
    </row>
    <row r="20" spans="1:12" x14ac:dyDescent="0.25">
      <c r="A20" s="21">
        <v>45793</v>
      </c>
      <c r="B20" s="15" t="s">
        <v>51</v>
      </c>
      <c r="C20" s="12" t="s">
        <v>236</v>
      </c>
      <c r="D20" s="21">
        <v>45793</v>
      </c>
      <c r="E20" s="15" t="s">
        <v>67</v>
      </c>
      <c r="F20" s="22">
        <v>966</v>
      </c>
      <c r="G20" s="22">
        <f t="shared" si="0"/>
        <v>193.2</v>
      </c>
      <c r="H20" s="22">
        <f t="shared" si="1"/>
        <v>1159.2</v>
      </c>
      <c r="I20" s="15">
        <v>7800</v>
      </c>
      <c r="J20" s="15" t="s">
        <v>17</v>
      </c>
      <c r="K20" s="15">
        <v>24467</v>
      </c>
      <c r="L20" s="21">
        <v>45824</v>
      </c>
    </row>
    <row r="21" spans="1:12" x14ac:dyDescent="0.25">
      <c r="A21" s="21">
        <v>45824</v>
      </c>
      <c r="B21" s="15" t="s">
        <v>260</v>
      </c>
      <c r="C21" s="12" t="s">
        <v>261</v>
      </c>
      <c r="E21" s="15" t="s">
        <v>67</v>
      </c>
      <c r="F21" s="22">
        <v>1798</v>
      </c>
      <c r="G21" s="22">
        <f t="shared" si="0"/>
        <v>359.6</v>
      </c>
      <c r="H21" s="22">
        <f t="shared" si="1"/>
        <v>2157.6</v>
      </c>
      <c r="I21" s="15">
        <v>7800</v>
      </c>
      <c r="J21" s="15" t="s">
        <v>17</v>
      </c>
      <c r="K21" s="15">
        <v>24549</v>
      </c>
      <c r="L21" s="21">
        <v>45836</v>
      </c>
    </row>
    <row r="22" spans="1:12" ht="25.5" x14ac:dyDescent="0.25">
      <c r="A22" s="21">
        <v>45814</v>
      </c>
      <c r="B22" s="15" t="s">
        <v>262</v>
      </c>
      <c r="C22" s="12" t="s">
        <v>263</v>
      </c>
      <c r="D22" s="21">
        <v>45813</v>
      </c>
      <c r="E22" s="15" t="s">
        <v>67</v>
      </c>
      <c r="F22" s="22">
        <v>660</v>
      </c>
      <c r="G22" s="22">
        <f t="shared" si="0"/>
        <v>132</v>
      </c>
      <c r="H22" s="22">
        <f t="shared" si="1"/>
        <v>792</v>
      </c>
      <c r="I22" s="15">
        <v>7800</v>
      </c>
      <c r="J22" s="15" t="s">
        <v>17</v>
      </c>
      <c r="K22" s="15">
        <v>24530</v>
      </c>
      <c r="L22" s="21">
        <v>45836</v>
      </c>
    </row>
    <row r="23" spans="1:12" ht="25.5" x14ac:dyDescent="0.25">
      <c r="A23" s="21">
        <v>45828</v>
      </c>
      <c r="B23" s="15" t="s">
        <v>63</v>
      </c>
      <c r="C23" s="12" t="s">
        <v>264</v>
      </c>
      <c r="D23" s="21">
        <v>45827</v>
      </c>
      <c r="E23" s="15" t="s">
        <v>67</v>
      </c>
      <c r="F23" s="22">
        <v>647.9</v>
      </c>
      <c r="G23" s="22">
        <f t="shared" si="0"/>
        <v>129.58000000000001</v>
      </c>
      <c r="H23" s="22">
        <f t="shared" si="1"/>
        <v>777.48</v>
      </c>
      <c r="I23" s="15">
        <v>7800</v>
      </c>
      <c r="J23" s="15" t="s">
        <v>17</v>
      </c>
      <c r="K23" s="15">
        <v>24553</v>
      </c>
      <c r="L23" s="21">
        <v>45836</v>
      </c>
    </row>
    <row r="24" spans="1:12" x14ac:dyDescent="0.25">
      <c r="A24" s="21">
        <v>45828</v>
      </c>
      <c r="B24" s="15" t="s">
        <v>266</v>
      </c>
      <c r="C24" s="12" t="s">
        <v>265</v>
      </c>
      <c r="D24" s="21">
        <v>45828</v>
      </c>
      <c r="E24" s="15" t="s">
        <v>67</v>
      </c>
      <c r="F24" s="22">
        <v>532.20000000000005</v>
      </c>
      <c r="G24" s="22">
        <f t="shared" si="0"/>
        <v>106.44</v>
      </c>
      <c r="H24" s="22">
        <f t="shared" si="1"/>
        <v>638.6400000000001</v>
      </c>
      <c r="I24" s="15">
        <v>7800</v>
      </c>
      <c r="J24" s="15" t="s">
        <v>17</v>
      </c>
      <c r="K24" s="15">
        <v>24555</v>
      </c>
      <c r="L24" s="21">
        <v>45836</v>
      </c>
    </row>
    <row r="25" spans="1:12" x14ac:dyDescent="0.25">
      <c r="A25" s="21">
        <v>45833</v>
      </c>
      <c r="B25" s="15" t="s">
        <v>86</v>
      </c>
      <c r="C25" s="12" t="s">
        <v>261</v>
      </c>
      <c r="D25" s="21">
        <v>45831</v>
      </c>
      <c r="E25" s="15" t="s">
        <v>67</v>
      </c>
      <c r="F25" s="22">
        <v>799</v>
      </c>
      <c r="G25" s="22">
        <f t="shared" si="0"/>
        <v>159.80000000000001</v>
      </c>
      <c r="H25" s="22">
        <f t="shared" si="1"/>
        <v>958.8</v>
      </c>
      <c r="I25" s="15">
        <v>7800</v>
      </c>
      <c r="J25" s="15" t="s">
        <v>17</v>
      </c>
      <c r="K25" s="15">
        <v>24565</v>
      </c>
      <c r="L25" s="21">
        <v>45836</v>
      </c>
    </row>
    <row r="26" spans="1:12" ht="25.5" x14ac:dyDescent="0.25">
      <c r="A26" s="21">
        <v>45833</v>
      </c>
      <c r="B26" s="15" t="s">
        <v>36</v>
      </c>
      <c r="C26" s="12" t="s">
        <v>267</v>
      </c>
      <c r="D26" s="21">
        <v>45832</v>
      </c>
      <c r="E26" s="15" t="s">
        <v>67</v>
      </c>
      <c r="F26" s="22">
        <v>656.9</v>
      </c>
      <c r="G26" s="22">
        <f t="shared" si="0"/>
        <v>131.38</v>
      </c>
      <c r="H26" s="22">
        <f t="shared" si="1"/>
        <v>788.28</v>
      </c>
      <c r="I26" s="15">
        <v>7800</v>
      </c>
      <c r="J26" s="15" t="s">
        <v>17</v>
      </c>
      <c r="K26" s="15">
        <v>24564</v>
      </c>
      <c r="L26" s="21">
        <v>45836</v>
      </c>
    </row>
    <row r="27" spans="1:12" x14ac:dyDescent="0.25">
      <c r="A27" s="21">
        <v>45833</v>
      </c>
      <c r="B27" s="15" t="s">
        <v>268</v>
      </c>
      <c r="C27" s="12" t="s">
        <v>270</v>
      </c>
      <c r="D27" s="21">
        <v>45833</v>
      </c>
      <c r="E27" s="15" t="s">
        <v>67</v>
      </c>
      <c r="F27" s="22">
        <v>562.79999999999995</v>
      </c>
      <c r="G27" s="22">
        <f t="shared" si="0"/>
        <v>112.55999999999999</v>
      </c>
      <c r="H27" s="22">
        <f t="shared" si="1"/>
        <v>675.3599999999999</v>
      </c>
      <c r="I27" s="15">
        <v>7800</v>
      </c>
      <c r="J27" s="15" t="s">
        <v>17</v>
      </c>
      <c r="K27" s="15">
        <v>24567</v>
      </c>
      <c r="L27" s="21">
        <v>45836</v>
      </c>
    </row>
    <row r="28" spans="1:12" x14ac:dyDescent="0.25">
      <c r="A28" s="21">
        <v>45833</v>
      </c>
      <c r="B28" s="15" t="s">
        <v>269</v>
      </c>
      <c r="C28" s="12" t="s">
        <v>265</v>
      </c>
      <c r="D28" s="21">
        <v>45833</v>
      </c>
      <c r="E28" s="15" t="s">
        <v>67</v>
      </c>
      <c r="F28" s="22">
        <v>532.20000000000005</v>
      </c>
      <c r="G28" s="22">
        <f t="shared" si="0"/>
        <v>106.44</v>
      </c>
      <c r="H28" s="22">
        <f t="shared" si="1"/>
        <v>638.6400000000001</v>
      </c>
      <c r="I28" s="15">
        <v>7800</v>
      </c>
      <c r="J28" s="15" t="s">
        <v>17</v>
      </c>
      <c r="K28" s="15">
        <v>24566</v>
      </c>
      <c r="L28" s="21">
        <v>45854</v>
      </c>
    </row>
    <row r="29" spans="1:12" x14ac:dyDescent="0.25">
      <c r="A29" s="21">
        <v>45800</v>
      </c>
      <c r="B29" s="15" t="s">
        <v>226</v>
      </c>
      <c r="C29" s="12" t="s">
        <v>310</v>
      </c>
      <c r="D29" s="21">
        <v>45800</v>
      </c>
      <c r="E29" s="15" t="s">
        <v>67</v>
      </c>
      <c r="F29" s="22">
        <v>580</v>
      </c>
      <c r="G29" s="22">
        <f t="shared" si="0"/>
        <v>116</v>
      </c>
      <c r="H29" s="22">
        <f t="shared" si="1"/>
        <v>696</v>
      </c>
      <c r="I29" s="15">
        <v>7800</v>
      </c>
      <c r="J29" s="15" t="s">
        <v>17</v>
      </c>
      <c r="K29" s="15">
        <v>24482</v>
      </c>
      <c r="L29" s="21">
        <v>45836</v>
      </c>
    </row>
    <row r="30" spans="1:12" ht="25.5" x14ac:dyDescent="0.25">
      <c r="A30" s="21">
        <v>45807</v>
      </c>
      <c r="B30" s="15" t="s">
        <v>56</v>
      </c>
      <c r="C30" s="12" t="s">
        <v>271</v>
      </c>
      <c r="D30" s="21">
        <v>45806</v>
      </c>
      <c r="E30" s="15" t="s">
        <v>67</v>
      </c>
      <c r="F30" s="22">
        <v>969.15</v>
      </c>
      <c r="G30" s="22">
        <f t="shared" si="0"/>
        <v>193.82999999999998</v>
      </c>
      <c r="H30" s="22">
        <f t="shared" si="1"/>
        <v>1162.98</v>
      </c>
      <c r="I30" s="15">
        <v>7800</v>
      </c>
      <c r="J30" s="15" t="s">
        <v>17</v>
      </c>
      <c r="K30" s="15">
        <v>24502</v>
      </c>
      <c r="L30" s="21">
        <v>45836</v>
      </c>
    </row>
    <row r="31" spans="1:12" x14ac:dyDescent="0.25">
      <c r="A31" s="21">
        <v>45807</v>
      </c>
      <c r="B31" s="15" t="s">
        <v>73</v>
      </c>
      <c r="C31" s="12" t="s">
        <v>272</v>
      </c>
      <c r="D31" s="21">
        <v>45805</v>
      </c>
      <c r="E31" s="15" t="s">
        <v>67</v>
      </c>
      <c r="F31" s="22">
        <v>618.9</v>
      </c>
      <c r="G31" s="22">
        <f t="shared" si="0"/>
        <v>123.78</v>
      </c>
      <c r="H31" s="22">
        <f t="shared" si="1"/>
        <v>742.68</v>
      </c>
      <c r="I31" s="15">
        <v>7800</v>
      </c>
      <c r="J31" s="15" t="s">
        <v>17</v>
      </c>
      <c r="K31" s="15">
        <v>24501</v>
      </c>
      <c r="L31" s="21">
        <v>45836</v>
      </c>
    </row>
    <row r="32" spans="1:12" x14ac:dyDescent="0.25">
      <c r="A32" s="21">
        <v>45807</v>
      </c>
      <c r="B32" s="15" t="s">
        <v>274</v>
      </c>
      <c r="C32" s="12" t="s">
        <v>273</v>
      </c>
      <c r="D32" s="21">
        <v>45806</v>
      </c>
      <c r="E32" s="15" t="s">
        <v>67</v>
      </c>
      <c r="F32" s="22">
        <v>578.1</v>
      </c>
      <c r="G32" s="22">
        <f t="shared" si="0"/>
        <v>115.62</v>
      </c>
      <c r="H32" s="22">
        <f t="shared" si="1"/>
        <v>693.72</v>
      </c>
      <c r="I32" s="15">
        <v>7800</v>
      </c>
      <c r="J32" s="15" t="s">
        <v>17</v>
      </c>
      <c r="K32" s="15">
        <v>24506</v>
      </c>
      <c r="L32" s="21">
        <v>45836</v>
      </c>
    </row>
    <row r="33" spans="1:12" x14ac:dyDescent="0.25">
      <c r="A33" s="21">
        <v>45819</v>
      </c>
      <c r="B33" s="15" t="s">
        <v>61</v>
      </c>
      <c r="C33" s="12" t="s">
        <v>275</v>
      </c>
      <c r="D33" s="21">
        <v>45740</v>
      </c>
      <c r="E33" s="15" t="s">
        <v>67</v>
      </c>
      <c r="F33" s="22">
        <v>689</v>
      </c>
      <c r="G33" s="22">
        <f t="shared" si="0"/>
        <v>137.79999999999998</v>
      </c>
      <c r="H33" s="22">
        <f t="shared" si="1"/>
        <v>826.8</v>
      </c>
      <c r="I33" s="15">
        <v>7800</v>
      </c>
      <c r="J33" s="15" t="s">
        <v>17</v>
      </c>
      <c r="K33" s="15">
        <v>24534</v>
      </c>
      <c r="L33" s="21">
        <v>45836</v>
      </c>
    </row>
    <row r="34" spans="1:12" x14ac:dyDescent="0.25">
      <c r="A34" s="21">
        <v>45840</v>
      </c>
      <c r="B34" s="15" t="s">
        <v>50</v>
      </c>
      <c r="C34" s="12" t="s">
        <v>308</v>
      </c>
      <c r="D34" s="21">
        <v>45839</v>
      </c>
      <c r="E34" s="15" t="s">
        <v>67</v>
      </c>
      <c r="F34" s="22">
        <v>748.5</v>
      </c>
      <c r="G34" s="22">
        <f t="shared" si="0"/>
        <v>149.70000000000002</v>
      </c>
      <c r="H34" s="22">
        <f t="shared" si="1"/>
        <v>898.2</v>
      </c>
      <c r="I34" s="15">
        <v>7800</v>
      </c>
      <c r="J34" s="15" t="s">
        <v>17</v>
      </c>
      <c r="K34" s="15">
        <v>24586</v>
      </c>
      <c r="L34" s="21">
        <v>45854</v>
      </c>
    </row>
    <row r="35" spans="1:12" x14ac:dyDescent="0.25">
      <c r="A35" s="21">
        <v>45847</v>
      </c>
      <c r="B35" s="15" t="s">
        <v>217</v>
      </c>
      <c r="C35" s="12" t="s">
        <v>309</v>
      </c>
      <c r="D35" s="21">
        <v>45846</v>
      </c>
      <c r="E35" s="15" t="s">
        <v>67</v>
      </c>
      <c r="F35" s="22">
        <v>295</v>
      </c>
      <c r="G35" s="22">
        <f t="shared" si="0"/>
        <v>59</v>
      </c>
      <c r="H35" s="22">
        <f t="shared" si="1"/>
        <v>354</v>
      </c>
      <c r="I35" s="15">
        <v>7800</v>
      </c>
      <c r="J35" s="15" t="s">
        <v>17</v>
      </c>
      <c r="K35" s="15">
        <v>24614</v>
      </c>
      <c r="L35" s="21">
        <v>45854</v>
      </c>
    </row>
    <row r="36" spans="1:12" ht="38.25" x14ac:dyDescent="0.25">
      <c r="A36" s="21">
        <v>45840</v>
      </c>
      <c r="B36" s="15" t="s">
        <v>52</v>
      </c>
      <c r="C36" s="12" t="s">
        <v>311</v>
      </c>
      <c r="D36" s="21">
        <v>45840</v>
      </c>
      <c r="E36" s="15" t="s">
        <v>67</v>
      </c>
      <c r="F36" s="22">
        <v>1363</v>
      </c>
      <c r="G36" s="22">
        <f t="shared" si="0"/>
        <v>272.60000000000002</v>
      </c>
      <c r="H36" s="22">
        <f t="shared" si="1"/>
        <v>1635.6</v>
      </c>
      <c r="I36" s="15">
        <v>7800</v>
      </c>
      <c r="J36" s="15" t="s">
        <v>17</v>
      </c>
      <c r="K36" s="15">
        <v>24592</v>
      </c>
      <c r="L36" s="21">
        <v>45854</v>
      </c>
    </row>
    <row r="37" spans="1:12" x14ac:dyDescent="0.25">
      <c r="A37" s="21">
        <v>45849</v>
      </c>
      <c r="B37" s="15" t="s">
        <v>217</v>
      </c>
      <c r="C37" s="12" t="s">
        <v>313</v>
      </c>
      <c r="D37" s="21">
        <v>45849</v>
      </c>
      <c r="E37" s="15" t="s">
        <v>67</v>
      </c>
      <c r="F37" s="22">
        <v>699</v>
      </c>
      <c r="G37" s="22">
        <f t="shared" si="0"/>
        <v>139.80000000000001</v>
      </c>
      <c r="H37" s="22">
        <f t="shared" si="1"/>
        <v>838.8</v>
      </c>
      <c r="I37" s="15">
        <v>7800</v>
      </c>
      <c r="J37" s="15" t="s">
        <v>17</v>
      </c>
      <c r="K37" s="15">
        <v>24621</v>
      </c>
      <c r="L37" s="21">
        <v>45876</v>
      </c>
    </row>
    <row r="38" spans="1:12" ht="25.5" x14ac:dyDescent="0.25">
      <c r="A38" s="21">
        <v>45856</v>
      </c>
      <c r="B38" s="15" t="s">
        <v>262</v>
      </c>
      <c r="C38" s="12" t="s">
        <v>325</v>
      </c>
      <c r="D38" s="21">
        <v>45855</v>
      </c>
      <c r="E38" s="15" t="s">
        <v>67</v>
      </c>
      <c r="F38" s="22">
        <v>580</v>
      </c>
      <c r="G38" s="22">
        <f t="shared" si="0"/>
        <v>116</v>
      </c>
      <c r="H38" s="22">
        <f t="shared" si="1"/>
        <v>696</v>
      </c>
      <c r="I38" s="15">
        <v>7800</v>
      </c>
      <c r="J38" s="15" t="s">
        <v>17</v>
      </c>
      <c r="K38" s="15">
        <v>24633</v>
      </c>
      <c r="L38" s="21">
        <v>45876</v>
      </c>
    </row>
    <row r="39" spans="1:12" x14ac:dyDescent="0.25">
      <c r="A39" s="21">
        <v>45849</v>
      </c>
      <c r="B39" s="15" t="s">
        <v>260</v>
      </c>
      <c r="C39" s="12" t="s">
        <v>155</v>
      </c>
      <c r="D39" s="21">
        <v>45849</v>
      </c>
      <c r="E39" s="15" t="s">
        <v>67</v>
      </c>
      <c r="F39" s="22">
        <v>792</v>
      </c>
      <c r="G39" s="22">
        <f t="shared" si="0"/>
        <v>158.4</v>
      </c>
      <c r="H39" s="22">
        <f t="shared" si="1"/>
        <v>950.4</v>
      </c>
      <c r="I39" s="15">
        <v>7800</v>
      </c>
      <c r="J39" s="15" t="s">
        <v>17</v>
      </c>
      <c r="K39" s="15">
        <v>24622</v>
      </c>
      <c r="L39" s="21">
        <v>45876</v>
      </c>
    </row>
    <row r="40" spans="1:12" x14ac:dyDescent="0.25">
      <c r="A40" s="21">
        <v>45863</v>
      </c>
      <c r="B40" s="15" t="s">
        <v>327</v>
      </c>
      <c r="C40" s="12" t="s">
        <v>326</v>
      </c>
      <c r="D40" s="21">
        <v>45863</v>
      </c>
      <c r="E40" s="15" t="s">
        <v>67</v>
      </c>
      <c r="F40" s="22">
        <v>575</v>
      </c>
      <c r="G40" s="22">
        <f t="shared" ref="G40:G103" si="2">SUM(F40/100*20)</f>
        <v>115</v>
      </c>
      <c r="H40" s="22">
        <f t="shared" ref="H40:H103" si="3">SUM(F40:G40)</f>
        <v>690</v>
      </c>
      <c r="I40" s="15">
        <v>7800</v>
      </c>
      <c r="J40" s="15" t="s">
        <v>17</v>
      </c>
      <c r="K40" s="15">
        <v>24658</v>
      </c>
      <c r="L40" s="21">
        <v>45876</v>
      </c>
    </row>
    <row r="41" spans="1:12" x14ac:dyDescent="0.25">
      <c r="A41" s="21">
        <v>45875</v>
      </c>
      <c r="B41" s="15" t="s">
        <v>49</v>
      </c>
      <c r="C41" s="12" t="s">
        <v>394</v>
      </c>
      <c r="D41" s="21">
        <v>45874</v>
      </c>
      <c r="E41" s="15" t="s">
        <v>67</v>
      </c>
      <c r="F41" s="22">
        <v>504.18</v>
      </c>
      <c r="G41" s="22">
        <f t="shared" si="2"/>
        <v>100.83600000000001</v>
      </c>
      <c r="H41" s="22">
        <f t="shared" si="3"/>
        <v>605.01600000000008</v>
      </c>
      <c r="I41" s="15">
        <v>7800</v>
      </c>
      <c r="J41" s="15" t="s">
        <v>17</v>
      </c>
      <c r="K41" s="15">
        <v>24667</v>
      </c>
      <c r="L41" s="21">
        <v>45877</v>
      </c>
    </row>
    <row r="42" spans="1:12" x14ac:dyDescent="0.25">
      <c r="A42" s="21">
        <v>45876</v>
      </c>
      <c r="B42" s="15" t="s">
        <v>26</v>
      </c>
      <c r="C42" s="12" t="s">
        <v>395</v>
      </c>
      <c r="D42" s="15" t="s">
        <v>15</v>
      </c>
      <c r="E42" s="15" t="s">
        <v>67</v>
      </c>
      <c r="F42" s="22">
        <v>720</v>
      </c>
      <c r="G42" s="22">
        <f t="shared" si="2"/>
        <v>144</v>
      </c>
      <c r="H42" s="22">
        <f t="shared" si="3"/>
        <v>864</v>
      </c>
      <c r="I42" s="15">
        <v>7570</v>
      </c>
      <c r="J42" s="15" t="s">
        <v>44</v>
      </c>
      <c r="K42" s="15">
        <v>24674</v>
      </c>
      <c r="L42" s="21">
        <v>45893</v>
      </c>
    </row>
    <row r="43" spans="1:12" ht="25.5" x14ac:dyDescent="0.25">
      <c r="A43" s="21">
        <v>45884</v>
      </c>
      <c r="B43" s="15" t="s">
        <v>260</v>
      </c>
      <c r="C43" s="12" t="s">
        <v>410</v>
      </c>
      <c r="D43" s="21">
        <v>45883</v>
      </c>
      <c r="E43" s="15" t="s">
        <v>67</v>
      </c>
      <c r="F43" s="22">
        <v>590</v>
      </c>
      <c r="G43" s="22">
        <f t="shared" si="2"/>
        <v>118</v>
      </c>
      <c r="H43" s="22">
        <f t="shared" si="3"/>
        <v>708</v>
      </c>
      <c r="I43" s="15">
        <v>7800</v>
      </c>
      <c r="J43" s="15" t="s">
        <v>17</v>
      </c>
      <c r="K43" s="15">
        <v>24695</v>
      </c>
      <c r="L43" s="21">
        <v>45893</v>
      </c>
    </row>
    <row r="44" spans="1:12" ht="25.5" x14ac:dyDescent="0.25">
      <c r="A44" s="21">
        <v>45884</v>
      </c>
      <c r="B44" s="15" t="s">
        <v>260</v>
      </c>
      <c r="C44" s="12" t="s">
        <v>411</v>
      </c>
      <c r="D44" s="21">
        <v>45884</v>
      </c>
      <c r="E44" s="15" t="s">
        <v>67</v>
      </c>
      <c r="F44" s="22">
        <v>730</v>
      </c>
      <c r="G44" s="22">
        <f t="shared" si="2"/>
        <v>146</v>
      </c>
      <c r="H44" s="22">
        <f t="shared" si="3"/>
        <v>876</v>
      </c>
      <c r="I44" s="15">
        <v>7800</v>
      </c>
      <c r="J44" s="15" t="s">
        <v>17</v>
      </c>
      <c r="K44" s="15">
        <v>24697</v>
      </c>
      <c r="L44" s="21">
        <v>45893</v>
      </c>
    </row>
    <row r="45" spans="1:12" ht="25.5" x14ac:dyDescent="0.25">
      <c r="A45" s="21">
        <v>45889</v>
      </c>
      <c r="B45" s="15" t="s">
        <v>63</v>
      </c>
      <c r="C45" s="12" t="s">
        <v>412</v>
      </c>
      <c r="D45" s="21">
        <v>45888</v>
      </c>
      <c r="E45" s="15" t="s">
        <v>67</v>
      </c>
      <c r="F45" s="22">
        <v>580</v>
      </c>
      <c r="G45" s="22">
        <f t="shared" si="2"/>
        <v>116</v>
      </c>
      <c r="H45" s="22">
        <f t="shared" si="3"/>
        <v>696</v>
      </c>
      <c r="I45" s="15">
        <v>7800</v>
      </c>
      <c r="J45" s="15" t="s">
        <v>17</v>
      </c>
      <c r="K45" s="15">
        <v>24702</v>
      </c>
      <c r="L45" s="21">
        <v>45893</v>
      </c>
    </row>
    <row r="46" spans="1:12" ht="38.25" x14ac:dyDescent="0.25">
      <c r="A46" s="21">
        <v>45891</v>
      </c>
      <c r="B46" s="15" t="s">
        <v>69</v>
      </c>
      <c r="C46" s="12" t="s">
        <v>442</v>
      </c>
      <c r="D46" s="21">
        <v>45890</v>
      </c>
      <c r="E46" s="15" t="s">
        <v>67</v>
      </c>
      <c r="F46" s="22">
        <v>580</v>
      </c>
      <c r="G46" s="22">
        <f t="shared" si="2"/>
        <v>116</v>
      </c>
      <c r="H46" s="22">
        <f t="shared" si="3"/>
        <v>696</v>
      </c>
      <c r="I46" s="15">
        <v>7800</v>
      </c>
      <c r="J46" s="15" t="s">
        <v>17</v>
      </c>
      <c r="K46" s="15">
        <v>24709</v>
      </c>
      <c r="L46" s="21">
        <v>45917</v>
      </c>
    </row>
    <row r="47" spans="1:12" ht="38.25" x14ac:dyDescent="0.25">
      <c r="A47" s="21">
        <v>45898</v>
      </c>
      <c r="B47" s="15" t="s">
        <v>260</v>
      </c>
      <c r="C47" s="12" t="s">
        <v>443</v>
      </c>
      <c r="D47" s="21">
        <v>45898</v>
      </c>
      <c r="E47" s="15" t="s">
        <v>67</v>
      </c>
      <c r="F47" s="22">
        <v>580</v>
      </c>
      <c r="G47" s="22">
        <f t="shared" si="2"/>
        <v>116</v>
      </c>
      <c r="H47" s="22">
        <f t="shared" si="3"/>
        <v>696</v>
      </c>
      <c r="I47" s="15">
        <v>7800</v>
      </c>
      <c r="J47" s="15" t="s">
        <v>17</v>
      </c>
      <c r="K47" s="15">
        <v>24723</v>
      </c>
      <c r="L47" s="21">
        <v>45917</v>
      </c>
    </row>
    <row r="48" spans="1:12" ht="25.5" x14ac:dyDescent="0.25">
      <c r="A48" s="21">
        <v>45902</v>
      </c>
      <c r="B48" s="15" t="s">
        <v>59</v>
      </c>
      <c r="C48" s="12" t="s">
        <v>446</v>
      </c>
      <c r="D48" s="21">
        <v>45901</v>
      </c>
      <c r="E48" s="15" t="s">
        <v>67</v>
      </c>
      <c r="F48" s="22">
        <v>1062.4000000000001</v>
      </c>
      <c r="G48" s="22">
        <f t="shared" si="2"/>
        <v>212.48000000000002</v>
      </c>
      <c r="H48" s="22">
        <f t="shared" si="3"/>
        <v>1274.8800000000001</v>
      </c>
      <c r="I48" s="15">
        <v>7800</v>
      </c>
      <c r="J48" s="15" t="s">
        <v>17</v>
      </c>
      <c r="K48" s="15">
        <v>24748</v>
      </c>
      <c r="L48" s="21">
        <v>45917</v>
      </c>
    </row>
    <row r="49" spans="1:12" x14ac:dyDescent="0.25">
      <c r="A49" s="21">
        <v>45903</v>
      </c>
      <c r="B49" s="15" t="s">
        <v>232</v>
      </c>
      <c r="C49" s="12" t="s">
        <v>444</v>
      </c>
      <c r="D49" s="21">
        <v>45903</v>
      </c>
      <c r="E49" s="15" t="s">
        <v>67</v>
      </c>
      <c r="F49" s="22">
        <v>547.5</v>
      </c>
      <c r="G49" s="22">
        <f t="shared" si="2"/>
        <v>109.5</v>
      </c>
      <c r="H49" s="22">
        <f t="shared" si="3"/>
        <v>657</v>
      </c>
      <c r="I49" s="15">
        <v>7800</v>
      </c>
      <c r="J49" s="15" t="s">
        <v>17</v>
      </c>
      <c r="K49" s="15">
        <v>24754</v>
      </c>
      <c r="L49" s="21">
        <v>45917</v>
      </c>
    </row>
    <row r="50" spans="1:12" ht="25.5" x14ac:dyDescent="0.25">
      <c r="A50" s="21">
        <v>45898</v>
      </c>
      <c r="B50" s="15" t="s">
        <v>69</v>
      </c>
      <c r="C50" s="12" t="s">
        <v>445</v>
      </c>
      <c r="D50" s="21">
        <v>45897</v>
      </c>
      <c r="E50" s="15" t="s">
        <v>67</v>
      </c>
      <c r="F50" s="22">
        <v>395</v>
      </c>
      <c r="G50" s="22">
        <f t="shared" si="2"/>
        <v>79</v>
      </c>
      <c r="H50" s="22">
        <f t="shared" si="3"/>
        <v>474</v>
      </c>
      <c r="I50" s="15">
        <v>7800</v>
      </c>
      <c r="J50" s="15" t="s">
        <v>17</v>
      </c>
      <c r="K50" s="15">
        <v>24728</v>
      </c>
      <c r="L50" s="21">
        <v>45917</v>
      </c>
    </row>
    <row r="51" spans="1:12" ht="25.5" x14ac:dyDescent="0.25">
      <c r="A51" s="21">
        <v>45910</v>
      </c>
      <c r="B51" s="15" t="s">
        <v>260</v>
      </c>
      <c r="C51" s="12" t="s">
        <v>447</v>
      </c>
      <c r="D51" s="21">
        <v>45909</v>
      </c>
      <c r="E51" s="15" t="s">
        <v>67</v>
      </c>
      <c r="F51" s="22">
        <v>4075</v>
      </c>
      <c r="G51" s="22">
        <f t="shared" si="2"/>
        <v>815</v>
      </c>
      <c r="H51" s="22">
        <f t="shared" si="3"/>
        <v>4890</v>
      </c>
      <c r="I51" s="15">
        <v>7800</v>
      </c>
      <c r="J51" s="15" t="s">
        <v>17</v>
      </c>
      <c r="K51" s="15">
        <v>24767</v>
      </c>
      <c r="L51" s="21">
        <v>45917</v>
      </c>
    </row>
    <row r="52" spans="1:12" ht="25.5" x14ac:dyDescent="0.25">
      <c r="A52" s="21">
        <v>45924</v>
      </c>
      <c r="B52" s="15" t="s">
        <v>74</v>
      </c>
      <c r="C52" s="12" t="s">
        <v>485</v>
      </c>
      <c r="D52" s="21">
        <v>45924</v>
      </c>
      <c r="E52" s="15" t="s">
        <v>67</v>
      </c>
      <c r="F52" s="22">
        <v>580</v>
      </c>
      <c r="G52" s="22">
        <f t="shared" si="2"/>
        <v>116</v>
      </c>
      <c r="H52" s="22">
        <f t="shared" si="3"/>
        <v>696</v>
      </c>
      <c r="I52" s="15">
        <v>7800</v>
      </c>
      <c r="J52" s="15" t="s">
        <v>17</v>
      </c>
      <c r="K52" s="15">
        <v>24789</v>
      </c>
      <c r="L52" s="21">
        <v>45943</v>
      </c>
    </row>
    <row r="53" spans="1:12" ht="38.25" x14ac:dyDescent="0.25">
      <c r="A53" s="21">
        <v>45946</v>
      </c>
      <c r="B53" s="15" t="s">
        <v>306</v>
      </c>
      <c r="C53" s="12" t="s">
        <v>530</v>
      </c>
      <c r="D53" s="21">
        <v>45946</v>
      </c>
      <c r="E53" s="15" t="s">
        <v>67</v>
      </c>
      <c r="F53" s="22">
        <v>413.3</v>
      </c>
      <c r="G53" s="22">
        <f t="shared" si="2"/>
        <v>82.66</v>
      </c>
      <c r="H53" s="22">
        <f t="shared" si="3"/>
        <v>495.96000000000004</v>
      </c>
      <c r="I53" s="15">
        <v>7800</v>
      </c>
      <c r="J53" s="15" t="s">
        <v>17</v>
      </c>
      <c r="K53" s="15">
        <v>24838</v>
      </c>
      <c r="L53" s="21">
        <v>45973</v>
      </c>
    </row>
    <row r="54" spans="1:12" ht="25.5" x14ac:dyDescent="0.25">
      <c r="A54" s="21">
        <v>45953</v>
      </c>
      <c r="B54" s="15" t="s">
        <v>260</v>
      </c>
      <c r="C54" s="12" t="s">
        <v>541</v>
      </c>
      <c r="D54" s="21">
        <v>45952</v>
      </c>
      <c r="E54" s="15" t="s">
        <v>67</v>
      </c>
      <c r="F54" s="22">
        <v>937.05</v>
      </c>
      <c r="G54" s="22">
        <f t="shared" si="2"/>
        <v>187.41</v>
      </c>
      <c r="H54" s="22">
        <f t="shared" si="3"/>
        <v>1124.46</v>
      </c>
      <c r="I54" s="15">
        <v>7800</v>
      </c>
      <c r="J54" s="15" t="s">
        <v>17</v>
      </c>
      <c r="K54" s="15">
        <v>24867</v>
      </c>
      <c r="L54" s="21">
        <v>45973</v>
      </c>
    </row>
    <row r="55" spans="1:12" x14ac:dyDescent="0.25">
      <c r="A55" s="21">
        <v>45953</v>
      </c>
      <c r="B55" s="15" t="s">
        <v>397</v>
      </c>
      <c r="C55" s="12" t="s">
        <v>166</v>
      </c>
      <c r="D55" s="21">
        <v>45952</v>
      </c>
      <c r="E55" s="15" t="s">
        <v>67</v>
      </c>
      <c r="F55" s="22">
        <v>544.95000000000005</v>
      </c>
      <c r="G55" s="22">
        <f t="shared" si="2"/>
        <v>108.99000000000001</v>
      </c>
      <c r="H55" s="22">
        <f t="shared" si="3"/>
        <v>653.94000000000005</v>
      </c>
      <c r="I55" s="15">
        <v>7800</v>
      </c>
      <c r="J55" s="15" t="s">
        <v>17</v>
      </c>
      <c r="K55" s="15">
        <v>24858</v>
      </c>
      <c r="L55" s="21">
        <v>45973</v>
      </c>
    </row>
    <row r="56" spans="1:12" ht="51" x14ac:dyDescent="0.25">
      <c r="A56" s="21">
        <v>45953</v>
      </c>
      <c r="B56" s="15" t="s">
        <v>20</v>
      </c>
      <c r="C56" s="12" t="s">
        <v>531</v>
      </c>
      <c r="D56" s="21">
        <v>45938</v>
      </c>
      <c r="E56" s="15" t="s">
        <v>67</v>
      </c>
      <c r="F56" s="22">
        <v>2769</v>
      </c>
      <c r="G56" s="22">
        <f t="shared" si="2"/>
        <v>553.80000000000007</v>
      </c>
      <c r="H56" s="22">
        <f t="shared" si="3"/>
        <v>3322.8</v>
      </c>
      <c r="I56" s="15">
        <v>7800</v>
      </c>
      <c r="J56" s="15" t="s">
        <v>17</v>
      </c>
      <c r="K56" s="15">
        <v>24855</v>
      </c>
      <c r="L56" s="21">
        <v>45992</v>
      </c>
    </row>
    <row r="57" spans="1:12" ht="25.5" x14ac:dyDescent="0.25">
      <c r="A57" s="21">
        <v>45954</v>
      </c>
      <c r="B57" s="15" t="s">
        <v>14</v>
      </c>
      <c r="C57" s="12" t="s">
        <v>542</v>
      </c>
      <c r="D57" s="21">
        <v>45953</v>
      </c>
      <c r="E57" s="15" t="s">
        <v>67</v>
      </c>
      <c r="F57" s="22">
        <v>607.1</v>
      </c>
      <c r="G57" s="22">
        <f t="shared" si="2"/>
        <v>121.42000000000002</v>
      </c>
      <c r="H57" s="22">
        <f t="shared" si="3"/>
        <v>728.52</v>
      </c>
      <c r="I57" s="15">
        <v>7800</v>
      </c>
      <c r="J57" s="15" t="s">
        <v>17</v>
      </c>
      <c r="K57" s="15">
        <v>24870</v>
      </c>
      <c r="L57" s="21">
        <v>45973</v>
      </c>
    </row>
    <row r="58" spans="1:12" ht="51" x14ac:dyDescent="0.25">
      <c r="A58" s="21">
        <v>45960</v>
      </c>
      <c r="B58" s="15" t="s">
        <v>74</v>
      </c>
      <c r="C58" s="12" t="s">
        <v>532</v>
      </c>
      <c r="D58" s="21">
        <v>45959</v>
      </c>
      <c r="E58" s="15" t="s">
        <v>67</v>
      </c>
      <c r="F58" s="22">
        <v>580</v>
      </c>
      <c r="G58" s="22">
        <f t="shared" si="2"/>
        <v>116</v>
      </c>
      <c r="H58" s="22">
        <f t="shared" si="3"/>
        <v>696</v>
      </c>
      <c r="I58" s="15">
        <v>7800</v>
      </c>
      <c r="J58" s="15" t="s">
        <v>17</v>
      </c>
      <c r="K58" s="15">
        <v>24881</v>
      </c>
      <c r="L58" s="21">
        <v>45992</v>
      </c>
    </row>
    <row r="59" spans="1:12" ht="51" x14ac:dyDescent="0.25">
      <c r="A59" s="21">
        <v>45960</v>
      </c>
      <c r="B59" s="15" t="s">
        <v>88</v>
      </c>
      <c r="C59" s="12" t="s">
        <v>531</v>
      </c>
      <c r="D59" s="15" t="s">
        <v>533</v>
      </c>
      <c r="E59" s="15" t="s">
        <v>67</v>
      </c>
      <c r="F59" s="22">
        <v>2469</v>
      </c>
      <c r="G59" s="22">
        <f t="shared" si="2"/>
        <v>493.8</v>
      </c>
      <c r="H59" s="22">
        <f t="shared" si="3"/>
        <v>2962.8</v>
      </c>
      <c r="I59" s="15">
        <v>7800</v>
      </c>
      <c r="J59" s="15" t="s">
        <v>17</v>
      </c>
      <c r="K59" s="15">
        <v>24884</v>
      </c>
      <c r="L59" s="21">
        <v>45992</v>
      </c>
    </row>
    <row r="60" spans="1:12" ht="25.5" x14ac:dyDescent="0.25">
      <c r="A60" s="21">
        <v>45964</v>
      </c>
      <c r="B60" s="15" t="s">
        <v>528</v>
      </c>
      <c r="C60" s="12" t="s">
        <v>534</v>
      </c>
      <c r="D60" s="21">
        <v>45961</v>
      </c>
      <c r="E60" s="15" t="s">
        <v>67</v>
      </c>
      <c r="F60" s="22">
        <v>1087.9000000000001</v>
      </c>
      <c r="G60" s="22">
        <f t="shared" si="2"/>
        <v>217.58000000000004</v>
      </c>
      <c r="H60" s="22">
        <f t="shared" si="3"/>
        <v>1305.48</v>
      </c>
      <c r="I60" s="15">
        <v>7800</v>
      </c>
      <c r="J60" s="15" t="s">
        <v>17</v>
      </c>
      <c r="K60" s="15">
        <v>24887</v>
      </c>
      <c r="L60" s="21">
        <v>45973</v>
      </c>
    </row>
    <row r="61" spans="1:12" ht="38.25" x14ac:dyDescent="0.25">
      <c r="A61" s="21">
        <v>45966</v>
      </c>
      <c r="B61" s="15" t="s">
        <v>70</v>
      </c>
      <c r="C61" s="12" t="s">
        <v>543</v>
      </c>
      <c r="D61" s="21">
        <v>45966</v>
      </c>
      <c r="E61" s="15" t="s">
        <v>67</v>
      </c>
      <c r="F61" s="22">
        <v>1245.9000000000001</v>
      </c>
      <c r="G61" s="22">
        <f t="shared" si="2"/>
        <v>249.18000000000004</v>
      </c>
      <c r="H61" s="22">
        <f t="shared" si="3"/>
        <v>1495.0800000000002</v>
      </c>
      <c r="I61" s="15">
        <v>7800</v>
      </c>
      <c r="J61" s="15" t="s">
        <v>17</v>
      </c>
      <c r="K61" s="15">
        <v>24904</v>
      </c>
      <c r="L61" s="21">
        <v>45973</v>
      </c>
    </row>
    <row r="62" spans="1:12" ht="38.25" x14ac:dyDescent="0.25">
      <c r="A62" s="21">
        <v>45966</v>
      </c>
      <c r="B62" s="15" t="s">
        <v>535</v>
      </c>
      <c r="C62" s="12" t="s">
        <v>544</v>
      </c>
      <c r="D62" s="21">
        <v>45934</v>
      </c>
      <c r="E62" s="15" t="s">
        <v>67</v>
      </c>
      <c r="F62" s="22">
        <v>1323.1</v>
      </c>
      <c r="G62" s="22">
        <f t="shared" si="2"/>
        <v>264.62</v>
      </c>
      <c r="H62" s="22">
        <f t="shared" si="3"/>
        <v>1587.7199999999998</v>
      </c>
      <c r="I62" s="15">
        <v>7800</v>
      </c>
      <c r="J62" s="15" t="s">
        <v>17</v>
      </c>
      <c r="K62" s="15">
        <v>24898</v>
      </c>
      <c r="L62" s="21">
        <v>45973</v>
      </c>
    </row>
    <row r="63" spans="1:12" ht="38.25" x14ac:dyDescent="0.25">
      <c r="A63" s="21">
        <v>45966</v>
      </c>
      <c r="B63" s="15" t="s">
        <v>70</v>
      </c>
      <c r="C63" s="12" t="s">
        <v>550</v>
      </c>
      <c r="D63" s="21">
        <v>45966</v>
      </c>
      <c r="E63" s="15" t="s">
        <v>67</v>
      </c>
      <c r="F63" s="22">
        <v>1245</v>
      </c>
      <c r="G63" s="22">
        <f t="shared" si="2"/>
        <v>249</v>
      </c>
      <c r="H63" s="22">
        <f t="shared" si="3"/>
        <v>1494</v>
      </c>
      <c r="I63" s="15">
        <v>7800</v>
      </c>
      <c r="J63" s="15" t="s">
        <v>17</v>
      </c>
      <c r="K63" s="15">
        <v>24904</v>
      </c>
      <c r="L63" s="21">
        <v>46000</v>
      </c>
    </row>
    <row r="64" spans="1:12" ht="38.25" x14ac:dyDescent="0.25">
      <c r="A64" s="21">
        <v>45968</v>
      </c>
      <c r="B64" s="15" t="s">
        <v>528</v>
      </c>
      <c r="C64" s="12" t="s">
        <v>551</v>
      </c>
      <c r="D64" s="21">
        <v>45968</v>
      </c>
      <c r="E64" s="15" t="s">
        <v>67</v>
      </c>
      <c r="F64" s="22">
        <v>805</v>
      </c>
      <c r="G64" s="22">
        <f t="shared" si="2"/>
        <v>161</v>
      </c>
      <c r="H64" s="22">
        <f t="shared" si="3"/>
        <v>966</v>
      </c>
      <c r="I64" s="15">
        <v>7800</v>
      </c>
      <c r="J64" s="15" t="s">
        <v>17</v>
      </c>
      <c r="K64" s="15">
        <v>24911</v>
      </c>
      <c r="L64" s="21">
        <v>45993</v>
      </c>
    </row>
    <row r="65" spans="1:12" ht="25.5" x14ac:dyDescent="0.25">
      <c r="A65" s="21">
        <v>45973</v>
      </c>
      <c r="B65" s="15" t="s">
        <v>74</v>
      </c>
      <c r="C65" s="12" t="s">
        <v>552</v>
      </c>
      <c r="D65" s="21">
        <v>45972</v>
      </c>
      <c r="E65" s="15" t="s">
        <v>67</v>
      </c>
      <c r="F65" s="22">
        <v>580</v>
      </c>
      <c r="G65" s="22">
        <f t="shared" si="2"/>
        <v>116</v>
      </c>
      <c r="H65" s="22">
        <f t="shared" si="3"/>
        <v>696</v>
      </c>
      <c r="I65" s="15">
        <v>7800</v>
      </c>
      <c r="J65" s="15" t="s">
        <v>17</v>
      </c>
      <c r="K65" s="15">
        <v>24920</v>
      </c>
      <c r="L65" s="21">
        <v>45993</v>
      </c>
    </row>
    <row r="66" spans="1:12" ht="25.5" x14ac:dyDescent="0.25">
      <c r="A66" s="21">
        <v>45985</v>
      </c>
      <c r="B66" s="15" t="s">
        <v>528</v>
      </c>
      <c r="C66" s="12" t="s">
        <v>553</v>
      </c>
      <c r="D66" s="21">
        <v>45982</v>
      </c>
      <c r="E66" s="15" t="s">
        <v>67</v>
      </c>
      <c r="F66" s="22">
        <v>980</v>
      </c>
      <c r="G66" s="22">
        <f t="shared" si="2"/>
        <v>196</v>
      </c>
      <c r="H66" s="22">
        <f t="shared" si="3"/>
        <v>1176</v>
      </c>
      <c r="I66" s="15">
        <v>7800</v>
      </c>
      <c r="J66" s="15" t="s">
        <v>17</v>
      </c>
      <c r="K66" s="15">
        <v>24945</v>
      </c>
      <c r="L66" s="21">
        <v>46000</v>
      </c>
    </row>
    <row r="67" spans="1:12" ht="25.5" x14ac:dyDescent="0.25">
      <c r="A67" s="21">
        <v>45987</v>
      </c>
      <c r="B67" s="15" t="s">
        <v>515</v>
      </c>
      <c r="C67" s="12" t="s">
        <v>554</v>
      </c>
      <c r="D67" s="21">
        <v>45987</v>
      </c>
      <c r="E67" s="15" t="s">
        <v>67</v>
      </c>
      <c r="F67" s="22">
        <v>580</v>
      </c>
      <c r="G67" s="22">
        <f t="shared" si="2"/>
        <v>116</v>
      </c>
      <c r="H67" s="22">
        <f t="shared" si="3"/>
        <v>696</v>
      </c>
      <c r="I67" s="15">
        <v>7800</v>
      </c>
      <c r="J67" s="15" t="s">
        <v>17</v>
      </c>
      <c r="K67" s="15">
        <v>24957</v>
      </c>
      <c r="L67" s="21">
        <v>45993</v>
      </c>
    </row>
    <row r="68" spans="1:12" ht="25.5" x14ac:dyDescent="0.25">
      <c r="A68" s="21">
        <v>45987</v>
      </c>
      <c r="B68" s="15" t="s">
        <v>74</v>
      </c>
      <c r="C68" s="12" t="s">
        <v>554</v>
      </c>
      <c r="D68" s="21">
        <v>45987</v>
      </c>
      <c r="E68" s="15" t="s">
        <v>67</v>
      </c>
      <c r="F68" s="22">
        <v>1175</v>
      </c>
      <c r="G68" s="22">
        <f t="shared" si="2"/>
        <v>235</v>
      </c>
      <c r="H68" s="22">
        <f t="shared" si="3"/>
        <v>1410</v>
      </c>
      <c r="I68" s="15">
        <v>7800</v>
      </c>
      <c r="J68" s="15" t="s">
        <v>17</v>
      </c>
      <c r="K68" s="15">
        <v>24953</v>
      </c>
      <c r="L68" s="21">
        <v>45993</v>
      </c>
    </row>
    <row r="69" spans="1:12" x14ac:dyDescent="0.25">
      <c r="E69" s="15" t="s">
        <v>67</v>
      </c>
      <c r="G69" s="22">
        <f t="shared" si="2"/>
        <v>0</v>
      </c>
      <c r="H69" s="22">
        <f t="shared" si="3"/>
        <v>0</v>
      </c>
      <c r="I69" s="15">
        <v>7800</v>
      </c>
      <c r="J69" s="15" t="s">
        <v>17</v>
      </c>
    </row>
    <row r="70" spans="1:12" x14ac:dyDescent="0.25">
      <c r="E70" s="15" t="s">
        <v>67</v>
      </c>
      <c r="G70" s="22">
        <f t="shared" si="2"/>
        <v>0</v>
      </c>
      <c r="H70" s="22">
        <f t="shared" si="3"/>
        <v>0</v>
      </c>
      <c r="I70" s="15">
        <v>7800</v>
      </c>
      <c r="J70" s="15" t="s">
        <v>17</v>
      </c>
    </row>
    <row r="71" spans="1:12" x14ac:dyDescent="0.25">
      <c r="E71" s="15" t="s">
        <v>67</v>
      </c>
      <c r="G71" s="22">
        <f t="shared" si="2"/>
        <v>0</v>
      </c>
      <c r="H71" s="22">
        <f t="shared" si="3"/>
        <v>0</v>
      </c>
      <c r="I71" s="15">
        <v>7800</v>
      </c>
      <c r="J71" s="15" t="s">
        <v>17</v>
      </c>
    </row>
    <row r="72" spans="1:12" x14ac:dyDescent="0.25">
      <c r="E72" s="15" t="s">
        <v>67</v>
      </c>
      <c r="G72" s="22">
        <f t="shared" si="2"/>
        <v>0</v>
      </c>
      <c r="H72" s="22">
        <f t="shared" si="3"/>
        <v>0</v>
      </c>
      <c r="I72" s="15">
        <v>7800</v>
      </c>
      <c r="J72" s="15" t="s">
        <v>17</v>
      </c>
    </row>
    <row r="73" spans="1:12" x14ac:dyDescent="0.25">
      <c r="E73" s="15" t="s">
        <v>67</v>
      </c>
      <c r="G73" s="22">
        <f t="shared" si="2"/>
        <v>0</v>
      </c>
      <c r="H73" s="22">
        <f t="shared" si="3"/>
        <v>0</v>
      </c>
      <c r="I73" s="15">
        <v>7800</v>
      </c>
      <c r="J73" s="15" t="s">
        <v>17</v>
      </c>
    </row>
    <row r="74" spans="1:12" x14ac:dyDescent="0.25">
      <c r="E74" s="15" t="s">
        <v>67</v>
      </c>
      <c r="G74" s="22">
        <f t="shared" si="2"/>
        <v>0</v>
      </c>
      <c r="H74" s="22">
        <f t="shared" si="3"/>
        <v>0</v>
      </c>
      <c r="I74" s="15">
        <v>7800</v>
      </c>
      <c r="J74" s="15" t="s">
        <v>17</v>
      </c>
    </row>
    <row r="75" spans="1:12" x14ac:dyDescent="0.25">
      <c r="E75" s="15" t="s">
        <v>67</v>
      </c>
      <c r="G75" s="22">
        <f t="shared" si="2"/>
        <v>0</v>
      </c>
      <c r="H75" s="22">
        <f t="shared" si="3"/>
        <v>0</v>
      </c>
      <c r="I75" s="15">
        <v>7800</v>
      </c>
      <c r="J75" s="15" t="s">
        <v>17</v>
      </c>
    </row>
    <row r="76" spans="1:12" x14ac:dyDescent="0.25">
      <c r="E76" s="15" t="s">
        <v>67</v>
      </c>
      <c r="G76" s="22">
        <f t="shared" si="2"/>
        <v>0</v>
      </c>
      <c r="H76" s="22">
        <f t="shared" si="3"/>
        <v>0</v>
      </c>
      <c r="I76" s="15">
        <v>7800</v>
      </c>
      <c r="J76" s="15" t="s">
        <v>17</v>
      </c>
    </row>
    <row r="77" spans="1:12" x14ac:dyDescent="0.25">
      <c r="E77" s="15" t="s">
        <v>67</v>
      </c>
      <c r="G77" s="22">
        <f t="shared" si="2"/>
        <v>0</v>
      </c>
      <c r="H77" s="22">
        <f t="shared" si="3"/>
        <v>0</v>
      </c>
      <c r="I77" s="15">
        <v>7800</v>
      </c>
      <c r="J77" s="15" t="s">
        <v>17</v>
      </c>
    </row>
    <row r="78" spans="1:12" x14ac:dyDescent="0.25">
      <c r="E78" s="15" t="s">
        <v>67</v>
      </c>
      <c r="G78" s="22">
        <f t="shared" si="2"/>
        <v>0</v>
      </c>
      <c r="H78" s="22">
        <f t="shared" si="3"/>
        <v>0</v>
      </c>
      <c r="I78" s="15">
        <v>7800</v>
      </c>
      <c r="J78" s="15" t="s">
        <v>17</v>
      </c>
    </row>
    <row r="79" spans="1:12" x14ac:dyDescent="0.25">
      <c r="E79" s="15" t="s">
        <v>67</v>
      </c>
      <c r="G79" s="22">
        <f t="shared" si="2"/>
        <v>0</v>
      </c>
      <c r="H79" s="22">
        <f t="shared" si="3"/>
        <v>0</v>
      </c>
      <c r="I79" s="15">
        <v>7800</v>
      </c>
      <c r="J79" s="15" t="s">
        <v>17</v>
      </c>
    </row>
    <row r="80" spans="1:12" x14ac:dyDescent="0.25">
      <c r="E80" s="15" t="s">
        <v>67</v>
      </c>
      <c r="G80" s="22">
        <f t="shared" si="2"/>
        <v>0</v>
      </c>
      <c r="H80" s="22">
        <f t="shared" si="3"/>
        <v>0</v>
      </c>
      <c r="I80" s="15">
        <v>7800</v>
      </c>
      <c r="J80" s="15" t="s">
        <v>17</v>
      </c>
    </row>
    <row r="81" spans="5:10" x14ac:dyDescent="0.25">
      <c r="E81" s="15" t="s">
        <v>67</v>
      </c>
      <c r="G81" s="22">
        <f t="shared" si="2"/>
        <v>0</v>
      </c>
      <c r="H81" s="22">
        <f t="shared" si="3"/>
        <v>0</v>
      </c>
      <c r="I81" s="15">
        <v>7800</v>
      </c>
      <c r="J81" s="15" t="s">
        <v>17</v>
      </c>
    </row>
    <row r="82" spans="5:10" x14ac:dyDescent="0.25">
      <c r="E82" s="15" t="s">
        <v>67</v>
      </c>
      <c r="G82" s="22">
        <f t="shared" si="2"/>
        <v>0</v>
      </c>
      <c r="H82" s="22">
        <f t="shared" si="3"/>
        <v>0</v>
      </c>
      <c r="I82" s="15">
        <v>7800</v>
      </c>
      <c r="J82" s="15" t="s">
        <v>17</v>
      </c>
    </row>
    <row r="83" spans="5:10" x14ac:dyDescent="0.25">
      <c r="E83" s="15" t="s">
        <v>67</v>
      </c>
      <c r="G83" s="22">
        <f t="shared" si="2"/>
        <v>0</v>
      </c>
      <c r="H83" s="22">
        <f t="shared" si="3"/>
        <v>0</v>
      </c>
      <c r="I83" s="15">
        <v>7800</v>
      </c>
      <c r="J83" s="15" t="s">
        <v>17</v>
      </c>
    </row>
    <row r="84" spans="5:10" x14ac:dyDescent="0.25">
      <c r="E84" s="15" t="s">
        <v>67</v>
      </c>
      <c r="G84" s="22">
        <f t="shared" si="2"/>
        <v>0</v>
      </c>
      <c r="H84" s="22">
        <f t="shared" si="3"/>
        <v>0</v>
      </c>
      <c r="I84" s="15">
        <v>7800</v>
      </c>
      <c r="J84" s="15" t="s">
        <v>17</v>
      </c>
    </row>
    <row r="85" spans="5:10" x14ac:dyDescent="0.25">
      <c r="E85" s="15" t="s">
        <v>67</v>
      </c>
      <c r="G85" s="22">
        <f t="shared" si="2"/>
        <v>0</v>
      </c>
      <c r="H85" s="22">
        <f t="shared" si="3"/>
        <v>0</v>
      </c>
      <c r="I85" s="15">
        <v>7800</v>
      </c>
      <c r="J85" s="15" t="s">
        <v>17</v>
      </c>
    </row>
    <row r="86" spans="5:10" x14ac:dyDescent="0.25">
      <c r="E86" s="15" t="s">
        <v>67</v>
      </c>
      <c r="G86" s="22">
        <f t="shared" si="2"/>
        <v>0</v>
      </c>
      <c r="H86" s="22">
        <f t="shared" si="3"/>
        <v>0</v>
      </c>
      <c r="I86" s="15">
        <v>7800</v>
      </c>
      <c r="J86" s="15" t="s">
        <v>17</v>
      </c>
    </row>
    <row r="87" spans="5:10" x14ac:dyDescent="0.25">
      <c r="E87" s="15" t="s">
        <v>67</v>
      </c>
      <c r="G87" s="22">
        <f t="shared" si="2"/>
        <v>0</v>
      </c>
      <c r="H87" s="22">
        <f t="shared" si="3"/>
        <v>0</v>
      </c>
      <c r="I87" s="15">
        <v>7800</v>
      </c>
      <c r="J87" s="15" t="s">
        <v>17</v>
      </c>
    </row>
    <row r="88" spans="5:10" x14ac:dyDescent="0.25">
      <c r="E88" s="15" t="s">
        <v>67</v>
      </c>
      <c r="G88" s="22">
        <f t="shared" si="2"/>
        <v>0</v>
      </c>
      <c r="H88" s="22">
        <f t="shared" si="3"/>
        <v>0</v>
      </c>
      <c r="I88" s="15">
        <v>7800</v>
      </c>
      <c r="J88" s="15" t="s">
        <v>17</v>
      </c>
    </row>
    <row r="89" spans="5:10" x14ac:dyDescent="0.25">
      <c r="E89" s="15" t="s">
        <v>67</v>
      </c>
      <c r="G89" s="22">
        <f t="shared" si="2"/>
        <v>0</v>
      </c>
      <c r="H89" s="22">
        <f t="shared" si="3"/>
        <v>0</v>
      </c>
      <c r="I89" s="15">
        <v>7800</v>
      </c>
      <c r="J89" s="15" t="s">
        <v>17</v>
      </c>
    </row>
    <row r="90" spans="5:10" x14ac:dyDescent="0.25">
      <c r="E90" s="15" t="s">
        <v>67</v>
      </c>
      <c r="G90" s="22">
        <f t="shared" si="2"/>
        <v>0</v>
      </c>
      <c r="H90" s="22">
        <f t="shared" si="3"/>
        <v>0</v>
      </c>
      <c r="I90" s="15">
        <v>7800</v>
      </c>
      <c r="J90" s="15" t="s">
        <v>17</v>
      </c>
    </row>
    <row r="91" spans="5:10" x14ac:dyDescent="0.25">
      <c r="E91" s="15" t="s">
        <v>67</v>
      </c>
      <c r="G91" s="22">
        <f t="shared" si="2"/>
        <v>0</v>
      </c>
      <c r="H91" s="22">
        <f t="shared" si="3"/>
        <v>0</v>
      </c>
      <c r="I91" s="15">
        <v>7800</v>
      </c>
      <c r="J91" s="15" t="s">
        <v>17</v>
      </c>
    </row>
    <row r="92" spans="5:10" x14ac:dyDescent="0.25">
      <c r="E92" s="15" t="s">
        <v>67</v>
      </c>
      <c r="G92" s="22">
        <f t="shared" si="2"/>
        <v>0</v>
      </c>
      <c r="H92" s="22">
        <f t="shared" si="3"/>
        <v>0</v>
      </c>
      <c r="I92" s="15">
        <v>7800</v>
      </c>
      <c r="J92" s="15" t="s">
        <v>17</v>
      </c>
    </row>
    <row r="93" spans="5:10" x14ac:dyDescent="0.25">
      <c r="E93" s="15" t="s">
        <v>67</v>
      </c>
      <c r="G93" s="22">
        <f t="shared" si="2"/>
        <v>0</v>
      </c>
      <c r="H93" s="22">
        <f t="shared" si="3"/>
        <v>0</v>
      </c>
      <c r="I93" s="15">
        <v>7800</v>
      </c>
      <c r="J93" s="15" t="s">
        <v>17</v>
      </c>
    </row>
    <row r="94" spans="5:10" x14ac:dyDescent="0.25">
      <c r="E94" s="15" t="s">
        <v>67</v>
      </c>
      <c r="G94" s="22">
        <f t="shared" si="2"/>
        <v>0</v>
      </c>
      <c r="H94" s="22">
        <f t="shared" si="3"/>
        <v>0</v>
      </c>
      <c r="I94" s="15">
        <v>7800</v>
      </c>
      <c r="J94" s="15" t="s">
        <v>17</v>
      </c>
    </row>
    <row r="95" spans="5:10" x14ac:dyDescent="0.25">
      <c r="E95" s="15" t="s">
        <v>67</v>
      </c>
      <c r="G95" s="22">
        <f t="shared" si="2"/>
        <v>0</v>
      </c>
      <c r="H95" s="22">
        <f t="shared" si="3"/>
        <v>0</v>
      </c>
      <c r="I95" s="15">
        <v>7800</v>
      </c>
      <c r="J95" s="15" t="s">
        <v>17</v>
      </c>
    </row>
    <row r="96" spans="5:10" x14ac:dyDescent="0.25">
      <c r="E96" s="15" t="s">
        <v>67</v>
      </c>
      <c r="G96" s="22">
        <f t="shared" si="2"/>
        <v>0</v>
      </c>
      <c r="H96" s="22">
        <f t="shared" si="3"/>
        <v>0</v>
      </c>
      <c r="I96" s="15">
        <v>7800</v>
      </c>
      <c r="J96" s="15" t="s">
        <v>17</v>
      </c>
    </row>
    <row r="97" spans="5:10" x14ac:dyDescent="0.25">
      <c r="E97" s="15" t="s">
        <v>67</v>
      </c>
      <c r="G97" s="22">
        <f t="shared" si="2"/>
        <v>0</v>
      </c>
      <c r="H97" s="22">
        <f t="shared" si="3"/>
        <v>0</v>
      </c>
      <c r="I97" s="15">
        <v>7800</v>
      </c>
      <c r="J97" s="15" t="s">
        <v>17</v>
      </c>
    </row>
    <row r="98" spans="5:10" x14ac:dyDescent="0.25">
      <c r="E98" s="15" t="s">
        <v>67</v>
      </c>
      <c r="G98" s="22">
        <f t="shared" si="2"/>
        <v>0</v>
      </c>
      <c r="H98" s="22">
        <f t="shared" si="3"/>
        <v>0</v>
      </c>
      <c r="I98" s="15">
        <v>7800</v>
      </c>
      <c r="J98" s="15" t="s">
        <v>17</v>
      </c>
    </row>
    <row r="99" spans="5:10" x14ac:dyDescent="0.25">
      <c r="E99" s="15" t="s">
        <v>67</v>
      </c>
      <c r="G99" s="22">
        <f t="shared" si="2"/>
        <v>0</v>
      </c>
      <c r="H99" s="22">
        <f t="shared" si="3"/>
        <v>0</v>
      </c>
      <c r="I99" s="15">
        <v>7800</v>
      </c>
      <c r="J99" s="15" t="s">
        <v>17</v>
      </c>
    </row>
    <row r="100" spans="5:10" x14ac:dyDescent="0.25">
      <c r="E100" s="15" t="s">
        <v>67</v>
      </c>
      <c r="G100" s="22">
        <f t="shared" si="2"/>
        <v>0</v>
      </c>
      <c r="H100" s="22">
        <f t="shared" si="3"/>
        <v>0</v>
      </c>
      <c r="I100" s="15">
        <v>7800</v>
      </c>
      <c r="J100" s="15" t="s">
        <v>17</v>
      </c>
    </row>
    <row r="101" spans="5:10" x14ac:dyDescent="0.25">
      <c r="E101" s="15" t="s">
        <v>67</v>
      </c>
      <c r="G101" s="22">
        <f t="shared" si="2"/>
        <v>0</v>
      </c>
      <c r="H101" s="22">
        <f t="shared" si="3"/>
        <v>0</v>
      </c>
      <c r="I101" s="15">
        <v>7800</v>
      </c>
      <c r="J101" s="15" t="s">
        <v>17</v>
      </c>
    </row>
    <row r="102" spans="5:10" x14ac:dyDescent="0.25">
      <c r="E102" s="15" t="s">
        <v>67</v>
      </c>
      <c r="G102" s="22">
        <f t="shared" si="2"/>
        <v>0</v>
      </c>
      <c r="H102" s="22">
        <f t="shared" si="3"/>
        <v>0</v>
      </c>
      <c r="I102" s="15">
        <v>7800</v>
      </c>
      <c r="J102" s="15" t="s">
        <v>17</v>
      </c>
    </row>
    <row r="103" spans="5:10" x14ac:dyDescent="0.25">
      <c r="E103" s="15" t="s">
        <v>67</v>
      </c>
      <c r="G103" s="22">
        <f t="shared" si="2"/>
        <v>0</v>
      </c>
      <c r="H103" s="22">
        <f t="shared" si="3"/>
        <v>0</v>
      </c>
      <c r="I103" s="15">
        <v>7800</v>
      </c>
      <c r="J103" s="15" t="s">
        <v>17</v>
      </c>
    </row>
    <row r="104" spans="5:10" x14ac:dyDescent="0.25">
      <c r="E104" s="15" t="s">
        <v>67</v>
      </c>
      <c r="G104" s="22">
        <f t="shared" ref="G104:G167" si="4">SUM(F104/100*20)</f>
        <v>0</v>
      </c>
      <c r="H104" s="22">
        <f t="shared" ref="H104:H167" si="5">SUM(F104:G104)</f>
        <v>0</v>
      </c>
      <c r="I104" s="15">
        <v>7800</v>
      </c>
      <c r="J104" s="15" t="s">
        <v>17</v>
      </c>
    </row>
    <row r="105" spans="5:10" x14ac:dyDescent="0.25">
      <c r="E105" s="15" t="s">
        <v>67</v>
      </c>
      <c r="G105" s="22">
        <f t="shared" si="4"/>
        <v>0</v>
      </c>
      <c r="H105" s="22">
        <f t="shared" si="5"/>
        <v>0</v>
      </c>
      <c r="I105" s="15">
        <v>7800</v>
      </c>
      <c r="J105" s="15" t="s">
        <v>17</v>
      </c>
    </row>
    <row r="106" spans="5:10" x14ac:dyDescent="0.25">
      <c r="E106" s="15" t="s">
        <v>67</v>
      </c>
      <c r="G106" s="22">
        <f t="shared" si="4"/>
        <v>0</v>
      </c>
      <c r="H106" s="22">
        <f t="shared" si="5"/>
        <v>0</v>
      </c>
      <c r="I106" s="15">
        <v>7800</v>
      </c>
      <c r="J106" s="15" t="s">
        <v>17</v>
      </c>
    </row>
    <row r="107" spans="5:10" x14ac:dyDescent="0.25">
      <c r="E107" s="15" t="s">
        <v>67</v>
      </c>
      <c r="G107" s="22">
        <f t="shared" si="4"/>
        <v>0</v>
      </c>
      <c r="H107" s="22">
        <f t="shared" si="5"/>
        <v>0</v>
      </c>
      <c r="I107" s="15">
        <v>7800</v>
      </c>
      <c r="J107" s="15" t="s">
        <v>17</v>
      </c>
    </row>
    <row r="108" spans="5:10" x14ac:dyDescent="0.25">
      <c r="E108" s="15" t="s">
        <v>67</v>
      </c>
      <c r="G108" s="22">
        <f t="shared" si="4"/>
        <v>0</v>
      </c>
      <c r="H108" s="22">
        <f t="shared" si="5"/>
        <v>0</v>
      </c>
      <c r="I108" s="15">
        <v>7800</v>
      </c>
      <c r="J108" s="15" t="s">
        <v>17</v>
      </c>
    </row>
    <row r="109" spans="5:10" x14ac:dyDescent="0.25">
      <c r="E109" s="15" t="s">
        <v>67</v>
      </c>
      <c r="G109" s="22">
        <f t="shared" si="4"/>
        <v>0</v>
      </c>
      <c r="H109" s="22">
        <f t="shared" si="5"/>
        <v>0</v>
      </c>
      <c r="I109" s="15">
        <v>7800</v>
      </c>
      <c r="J109" s="15" t="s">
        <v>17</v>
      </c>
    </row>
    <row r="110" spans="5:10" x14ac:dyDescent="0.25">
      <c r="E110" s="15" t="s">
        <v>67</v>
      </c>
      <c r="G110" s="22">
        <f t="shared" si="4"/>
        <v>0</v>
      </c>
      <c r="H110" s="22">
        <f t="shared" si="5"/>
        <v>0</v>
      </c>
      <c r="I110" s="15">
        <v>7800</v>
      </c>
      <c r="J110" s="15" t="s">
        <v>17</v>
      </c>
    </row>
    <row r="111" spans="5:10" x14ac:dyDescent="0.25">
      <c r="E111" s="15" t="s">
        <v>67</v>
      </c>
      <c r="G111" s="22">
        <f t="shared" si="4"/>
        <v>0</v>
      </c>
      <c r="H111" s="22">
        <f t="shared" si="5"/>
        <v>0</v>
      </c>
      <c r="I111" s="15">
        <v>7800</v>
      </c>
      <c r="J111" s="15" t="s">
        <v>17</v>
      </c>
    </row>
    <row r="112" spans="5:10" x14ac:dyDescent="0.25">
      <c r="E112" s="15" t="s">
        <v>67</v>
      </c>
      <c r="G112" s="22">
        <f t="shared" si="4"/>
        <v>0</v>
      </c>
      <c r="H112" s="22">
        <f t="shared" si="5"/>
        <v>0</v>
      </c>
      <c r="I112" s="15">
        <v>7800</v>
      </c>
      <c r="J112" s="15" t="s">
        <v>17</v>
      </c>
    </row>
    <row r="113" spans="5:10" x14ac:dyDescent="0.25">
      <c r="E113" s="15" t="s">
        <v>67</v>
      </c>
      <c r="G113" s="22">
        <f t="shared" si="4"/>
        <v>0</v>
      </c>
      <c r="H113" s="22">
        <f t="shared" si="5"/>
        <v>0</v>
      </c>
      <c r="I113" s="15">
        <v>7800</v>
      </c>
      <c r="J113" s="15" t="s">
        <v>17</v>
      </c>
    </row>
    <row r="114" spans="5:10" x14ac:dyDescent="0.25">
      <c r="E114" s="15" t="s">
        <v>67</v>
      </c>
      <c r="G114" s="22">
        <f t="shared" si="4"/>
        <v>0</v>
      </c>
      <c r="H114" s="22">
        <f t="shared" si="5"/>
        <v>0</v>
      </c>
      <c r="I114" s="15">
        <v>7800</v>
      </c>
      <c r="J114" s="15" t="s">
        <v>17</v>
      </c>
    </row>
    <row r="115" spans="5:10" x14ac:dyDescent="0.25">
      <c r="E115" s="15" t="s">
        <v>67</v>
      </c>
      <c r="G115" s="22">
        <f t="shared" si="4"/>
        <v>0</v>
      </c>
      <c r="H115" s="22">
        <f t="shared" si="5"/>
        <v>0</v>
      </c>
      <c r="I115" s="15">
        <v>7800</v>
      </c>
      <c r="J115" s="15" t="s">
        <v>17</v>
      </c>
    </row>
    <row r="116" spans="5:10" x14ac:dyDescent="0.25">
      <c r="E116" s="15" t="s">
        <v>67</v>
      </c>
      <c r="G116" s="22">
        <f t="shared" si="4"/>
        <v>0</v>
      </c>
      <c r="H116" s="22">
        <f t="shared" si="5"/>
        <v>0</v>
      </c>
      <c r="I116" s="15">
        <v>7800</v>
      </c>
      <c r="J116" s="15" t="s">
        <v>17</v>
      </c>
    </row>
    <row r="117" spans="5:10" x14ac:dyDescent="0.25">
      <c r="E117" s="15" t="s">
        <v>67</v>
      </c>
      <c r="G117" s="22">
        <f t="shared" si="4"/>
        <v>0</v>
      </c>
      <c r="H117" s="22">
        <f t="shared" si="5"/>
        <v>0</v>
      </c>
      <c r="I117" s="15">
        <v>7800</v>
      </c>
      <c r="J117" s="15" t="s">
        <v>17</v>
      </c>
    </row>
    <row r="118" spans="5:10" x14ac:dyDescent="0.25">
      <c r="E118" s="15" t="s">
        <v>67</v>
      </c>
      <c r="G118" s="22">
        <f t="shared" si="4"/>
        <v>0</v>
      </c>
      <c r="H118" s="22">
        <f t="shared" si="5"/>
        <v>0</v>
      </c>
      <c r="I118" s="15">
        <v>7800</v>
      </c>
      <c r="J118" s="15" t="s">
        <v>17</v>
      </c>
    </row>
    <row r="119" spans="5:10" x14ac:dyDescent="0.25">
      <c r="E119" s="15" t="s">
        <v>67</v>
      </c>
      <c r="G119" s="22">
        <f t="shared" si="4"/>
        <v>0</v>
      </c>
      <c r="H119" s="22">
        <f t="shared" si="5"/>
        <v>0</v>
      </c>
      <c r="I119" s="15">
        <v>7800</v>
      </c>
      <c r="J119" s="15" t="s">
        <v>17</v>
      </c>
    </row>
    <row r="120" spans="5:10" x14ac:dyDescent="0.25">
      <c r="E120" s="15" t="s">
        <v>67</v>
      </c>
      <c r="G120" s="22">
        <f t="shared" si="4"/>
        <v>0</v>
      </c>
      <c r="H120" s="22">
        <f t="shared" si="5"/>
        <v>0</v>
      </c>
      <c r="I120" s="15">
        <v>7800</v>
      </c>
      <c r="J120" s="15" t="s">
        <v>17</v>
      </c>
    </row>
    <row r="121" spans="5:10" x14ac:dyDescent="0.25">
      <c r="E121" s="15" t="s">
        <v>67</v>
      </c>
      <c r="G121" s="22">
        <f t="shared" si="4"/>
        <v>0</v>
      </c>
      <c r="H121" s="22">
        <f t="shared" si="5"/>
        <v>0</v>
      </c>
      <c r="I121" s="15">
        <v>7800</v>
      </c>
      <c r="J121" s="15" t="s">
        <v>17</v>
      </c>
    </row>
    <row r="122" spans="5:10" x14ac:dyDescent="0.25">
      <c r="E122" s="15" t="s">
        <v>67</v>
      </c>
      <c r="G122" s="22">
        <f t="shared" si="4"/>
        <v>0</v>
      </c>
      <c r="H122" s="22">
        <f t="shared" si="5"/>
        <v>0</v>
      </c>
      <c r="I122" s="15">
        <v>7800</v>
      </c>
      <c r="J122" s="15" t="s">
        <v>17</v>
      </c>
    </row>
    <row r="123" spans="5:10" x14ac:dyDescent="0.25">
      <c r="E123" s="15" t="s">
        <v>67</v>
      </c>
      <c r="G123" s="22">
        <f t="shared" si="4"/>
        <v>0</v>
      </c>
      <c r="H123" s="22">
        <f t="shared" si="5"/>
        <v>0</v>
      </c>
      <c r="I123" s="15">
        <v>7800</v>
      </c>
      <c r="J123" s="15" t="s">
        <v>17</v>
      </c>
    </row>
    <row r="124" spans="5:10" x14ac:dyDescent="0.25">
      <c r="E124" s="15" t="s">
        <v>67</v>
      </c>
      <c r="G124" s="22">
        <f t="shared" si="4"/>
        <v>0</v>
      </c>
      <c r="H124" s="22">
        <f t="shared" si="5"/>
        <v>0</v>
      </c>
      <c r="I124" s="15">
        <v>7800</v>
      </c>
      <c r="J124" s="15" t="s">
        <v>17</v>
      </c>
    </row>
    <row r="125" spans="5:10" x14ac:dyDescent="0.25">
      <c r="E125" s="15" t="s">
        <v>67</v>
      </c>
      <c r="G125" s="22">
        <f t="shared" si="4"/>
        <v>0</v>
      </c>
      <c r="H125" s="22">
        <f t="shared" si="5"/>
        <v>0</v>
      </c>
      <c r="I125" s="15">
        <v>7800</v>
      </c>
      <c r="J125" s="15" t="s">
        <v>17</v>
      </c>
    </row>
    <row r="126" spans="5:10" x14ac:dyDescent="0.25">
      <c r="E126" s="15" t="s">
        <v>67</v>
      </c>
      <c r="G126" s="22">
        <f t="shared" si="4"/>
        <v>0</v>
      </c>
      <c r="H126" s="22">
        <f t="shared" si="5"/>
        <v>0</v>
      </c>
      <c r="I126" s="15">
        <v>7800</v>
      </c>
      <c r="J126" s="15" t="s">
        <v>17</v>
      </c>
    </row>
    <row r="127" spans="5:10" x14ac:dyDescent="0.25">
      <c r="E127" s="15" t="s">
        <v>67</v>
      </c>
      <c r="G127" s="22">
        <f t="shared" si="4"/>
        <v>0</v>
      </c>
      <c r="H127" s="22">
        <f t="shared" si="5"/>
        <v>0</v>
      </c>
      <c r="I127" s="15">
        <v>7800</v>
      </c>
      <c r="J127" s="15" t="s">
        <v>17</v>
      </c>
    </row>
    <row r="128" spans="5:10" x14ac:dyDescent="0.25">
      <c r="E128" s="15" t="s">
        <v>67</v>
      </c>
      <c r="G128" s="22">
        <f t="shared" si="4"/>
        <v>0</v>
      </c>
      <c r="H128" s="22">
        <f t="shared" si="5"/>
        <v>0</v>
      </c>
      <c r="I128" s="15">
        <v>7800</v>
      </c>
      <c r="J128" s="15" t="s">
        <v>17</v>
      </c>
    </row>
    <row r="129" spans="5:10" x14ac:dyDescent="0.25">
      <c r="E129" s="15" t="s">
        <v>67</v>
      </c>
      <c r="G129" s="22">
        <f t="shared" si="4"/>
        <v>0</v>
      </c>
      <c r="H129" s="22">
        <f t="shared" si="5"/>
        <v>0</v>
      </c>
      <c r="I129" s="15">
        <v>7800</v>
      </c>
      <c r="J129" s="15" t="s">
        <v>17</v>
      </c>
    </row>
    <row r="130" spans="5:10" x14ac:dyDescent="0.25">
      <c r="E130" s="15" t="s">
        <v>67</v>
      </c>
      <c r="G130" s="22">
        <f t="shared" si="4"/>
        <v>0</v>
      </c>
      <c r="H130" s="22">
        <f t="shared" si="5"/>
        <v>0</v>
      </c>
      <c r="I130" s="15">
        <v>7800</v>
      </c>
      <c r="J130" s="15" t="s">
        <v>17</v>
      </c>
    </row>
    <row r="131" spans="5:10" x14ac:dyDescent="0.25">
      <c r="E131" s="15" t="s">
        <v>67</v>
      </c>
      <c r="G131" s="22">
        <f t="shared" si="4"/>
        <v>0</v>
      </c>
      <c r="H131" s="22">
        <f t="shared" si="5"/>
        <v>0</v>
      </c>
      <c r="I131" s="15">
        <v>7800</v>
      </c>
      <c r="J131" s="15" t="s">
        <v>17</v>
      </c>
    </row>
    <row r="132" spans="5:10" x14ac:dyDescent="0.25">
      <c r="E132" s="15" t="s">
        <v>67</v>
      </c>
      <c r="G132" s="22">
        <f t="shared" si="4"/>
        <v>0</v>
      </c>
      <c r="H132" s="22">
        <f t="shared" si="5"/>
        <v>0</v>
      </c>
      <c r="I132" s="15">
        <v>7800</v>
      </c>
      <c r="J132" s="15" t="s">
        <v>17</v>
      </c>
    </row>
    <row r="133" spans="5:10" x14ac:dyDescent="0.25">
      <c r="E133" s="15" t="s">
        <v>67</v>
      </c>
      <c r="G133" s="22">
        <f t="shared" si="4"/>
        <v>0</v>
      </c>
      <c r="H133" s="22">
        <f t="shared" si="5"/>
        <v>0</v>
      </c>
      <c r="I133" s="15">
        <v>7800</v>
      </c>
      <c r="J133" s="15" t="s">
        <v>17</v>
      </c>
    </row>
    <row r="134" spans="5:10" x14ac:dyDescent="0.25">
      <c r="E134" s="15" t="s">
        <v>67</v>
      </c>
      <c r="G134" s="22">
        <f t="shared" si="4"/>
        <v>0</v>
      </c>
      <c r="H134" s="22">
        <f t="shared" si="5"/>
        <v>0</v>
      </c>
      <c r="I134" s="15">
        <v>7800</v>
      </c>
      <c r="J134" s="15" t="s">
        <v>17</v>
      </c>
    </row>
    <row r="135" spans="5:10" x14ac:dyDescent="0.25">
      <c r="E135" s="15" t="s">
        <v>67</v>
      </c>
      <c r="G135" s="22">
        <f t="shared" si="4"/>
        <v>0</v>
      </c>
      <c r="H135" s="22">
        <f t="shared" si="5"/>
        <v>0</v>
      </c>
      <c r="I135" s="15">
        <v>7800</v>
      </c>
      <c r="J135" s="15" t="s">
        <v>17</v>
      </c>
    </row>
    <row r="136" spans="5:10" x14ac:dyDescent="0.25">
      <c r="E136" s="15" t="s">
        <v>67</v>
      </c>
      <c r="G136" s="22">
        <f t="shared" si="4"/>
        <v>0</v>
      </c>
      <c r="H136" s="22">
        <f t="shared" si="5"/>
        <v>0</v>
      </c>
      <c r="I136" s="15">
        <v>7800</v>
      </c>
      <c r="J136" s="15" t="s">
        <v>17</v>
      </c>
    </row>
    <row r="137" spans="5:10" x14ac:dyDescent="0.25">
      <c r="E137" s="15" t="s">
        <v>67</v>
      </c>
      <c r="G137" s="22">
        <f t="shared" si="4"/>
        <v>0</v>
      </c>
      <c r="H137" s="22">
        <f t="shared" si="5"/>
        <v>0</v>
      </c>
      <c r="I137" s="15">
        <v>7800</v>
      </c>
      <c r="J137" s="15" t="s">
        <v>17</v>
      </c>
    </row>
    <row r="138" spans="5:10" x14ac:dyDescent="0.25">
      <c r="E138" s="15" t="s">
        <v>67</v>
      </c>
      <c r="G138" s="22">
        <f t="shared" si="4"/>
        <v>0</v>
      </c>
      <c r="H138" s="22">
        <f t="shared" si="5"/>
        <v>0</v>
      </c>
      <c r="I138" s="15">
        <v>7800</v>
      </c>
      <c r="J138" s="15" t="s">
        <v>17</v>
      </c>
    </row>
    <row r="139" spans="5:10" x14ac:dyDescent="0.25">
      <c r="E139" s="15" t="s">
        <v>67</v>
      </c>
      <c r="G139" s="22">
        <f t="shared" si="4"/>
        <v>0</v>
      </c>
      <c r="H139" s="22">
        <f t="shared" si="5"/>
        <v>0</v>
      </c>
      <c r="I139" s="15">
        <v>7800</v>
      </c>
      <c r="J139" s="15" t="s">
        <v>17</v>
      </c>
    </row>
    <row r="140" spans="5:10" x14ac:dyDescent="0.25">
      <c r="E140" s="15" t="s">
        <v>67</v>
      </c>
      <c r="G140" s="22">
        <f t="shared" si="4"/>
        <v>0</v>
      </c>
      <c r="H140" s="22">
        <f t="shared" si="5"/>
        <v>0</v>
      </c>
      <c r="I140" s="15">
        <v>7800</v>
      </c>
      <c r="J140" s="15" t="s">
        <v>17</v>
      </c>
    </row>
    <row r="141" spans="5:10" x14ac:dyDescent="0.25">
      <c r="E141" s="15" t="s">
        <v>67</v>
      </c>
      <c r="G141" s="22">
        <f t="shared" si="4"/>
        <v>0</v>
      </c>
      <c r="H141" s="22">
        <f t="shared" si="5"/>
        <v>0</v>
      </c>
      <c r="I141" s="15">
        <v>7800</v>
      </c>
      <c r="J141" s="15" t="s">
        <v>17</v>
      </c>
    </row>
    <row r="142" spans="5:10" x14ac:dyDescent="0.25">
      <c r="E142" s="15" t="s">
        <v>67</v>
      </c>
      <c r="G142" s="22">
        <f t="shared" si="4"/>
        <v>0</v>
      </c>
      <c r="H142" s="22">
        <f t="shared" si="5"/>
        <v>0</v>
      </c>
      <c r="I142" s="15">
        <v>7800</v>
      </c>
      <c r="J142" s="15" t="s">
        <v>17</v>
      </c>
    </row>
    <row r="143" spans="5:10" x14ac:dyDescent="0.25">
      <c r="E143" s="15" t="s">
        <v>67</v>
      </c>
      <c r="G143" s="22">
        <f t="shared" si="4"/>
        <v>0</v>
      </c>
      <c r="H143" s="22">
        <f t="shared" si="5"/>
        <v>0</v>
      </c>
      <c r="I143" s="15">
        <v>7800</v>
      </c>
      <c r="J143" s="15" t="s">
        <v>17</v>
      </c>
    </row>
    <row r="144" spans="5:10" x14ac:dyDescent="0.25">
      <c r="E144" s="15" t="s">
        <v>67</v>
      </c>
      <c r="G144" s="22">
        <f t="shared" si="4"/>
        <v>0</v>
      </c>
      <c r="H144" s="22">
        <f t="shared" si="5"/>
        <v>0</v>
      </c>
      <c r="I144" s="15">
        <v>7800</v>
      </c>
      <c r="J144" s="15" t="s">
        <v>17</v>
      </c>
    </row>
    <row r="145" spans="5:10" x14ac:dyDescent="0.25">
      <c r="E145" s="15" t="s">
        <v>67</v>
      </c>
      <c r="G145" s="22">
        <f t="shared" si="4"/>
        <v>0</v>
      </c>
      <c r="H145" s="22">
        <f t="shared" si="5"/>
        <v>0</v>
      </c>
      <c r="I145" s="15">
        <v>7800</v>
      </c>
      <c r="J145" s="15" t="s">
        <v>17</v>
      </c>
    </row>
    <row r="146" spans="5:10" x14ac:dyDescent="0.25">
      <c r="E146" s="15" t="s">
        <v>67</v>
      </c>
      <c r="G146" s="22">
        <f t="shared" si="4"/>
        <v>0</v>
      </c>
      <c r="H146" s="22">
        <f t="shared" si="5"/>
        <v>0</v>
      </c>
      <c r="I146" s="15">
        <v>7800</v>
      </c>
      <c r="J146" s="15" t="s">
        <v>17</v>
      </c>
    </row>
    <row r="147" spans="5:10" x14ac:dyDescent="0.25">
      <c r="E147" s="15" t="s">
        <v>67</v>
      </c>
      <c r="G147" s="22">
        <f t="shared" si="4"/>
        <v>0</v>
      </c>
      <c r="H147" s="22">
        <f t="shared" si="5"/>
        <v>0</v>
      </c>
      <c r="I147" s="15">
        <v>7800</v>
      </c>
      <c r="J147" s="15" t="s">
        <v>17</v>
      </c>
    </row>
    <row r="148" spans="5:10" x14ac:dyDescent="0.25">
      <c r="E148" s="15" t="s">
        <v>67</v>
      </c>
      <c r="G148" s="22">
        <f t="shared" si="4"/>
        <v>0</v>
      </c>
      <c r="H148" s="22">
        <f t="shared" si="5"/>
        <v>0</v>
      </c>
      <c r="I148" s="15">
        <v>7800</v>
      </c>
      <c r="J148" s="15" t="s">
        <v>17</v>
      </c>
    </row>
    <row r="149" spans="5:10" x14ac:dyDescent="0.25">
      <c r="E149" s="15" t="s">
        <v>67</v>
      </c>
      <c r="G149" s="22">
        <f t="shared" si="4"/>
        <v>0</v>
      </c>
      <c r="H149" s="22">
        <f t="shared" si="5"/>
        <v>0</v>
      </c>
      <c r="I149" s="15">
        <v>7800</v>
      </c>
      <c r="J149" s="15" t="s">
        <v>17</v>
      </c>
    </row>
    <row r="150" spans="5:10" x14ac:dyDescent="0.25">
      <c r="E150" s="15" t="s">
        <v>67</v>
      </c>
      <c r="G150" s="22">
        <f t="shared" si="4"/>
        <v>0</v>
      </c>
      <c r="H150" s="22">
        <f t="shared" si="5"/>
        <v>0</v>
      </c>
      <c r="I150" s="15">
        <v>7800</v>
      </c>
      <c r="J150" s="15" t="s">
        <v>17</v>
      </c>
    </row>
    <row r="151" spans="5:10" x14ac:dyDescent="0.25">
      <c r="E151" s="15" t="s">
        <v>67</v>
      </c>
      <c r="G151" s="22">
        <f t="shared" si="4"/>
        <v>0</v>
      </c>
      <c r="H151" s="22">
        <f t="shared" si="5"/>
        <v>0</v>
      </c>
      <c r="I151" s="15">
        <v>7800</v>
      </c>
      <c r="J151" s="15" t="s">
        <v>17</v>
      </c>
    </row>
    <row r="152" spans="5:10" x14ac:dyDescent="0.25">
      <c r="E152" s="15" t="s">
        <v>67</v>
      </c>
      <c r="G152" s="22">
        <f t="shared" si="4"/>
        <v>0</v>
      </c>
      <c r="H152" s="22">
        <f t="shared" si="5"/>
        <v>0</v>
      </c>
      <c r="I152" s="15">
        <v>7800</v>
      </c>
      <c r="J152" s="15" t="s">
        <v>17</v>
      </c>
    </row>
    <row r="153" spans="5:10" x14ac:dyDescent="0.25">
      <c r="E153" s="15" t="s">
        <v>67</v>
      </c>
      <c r="G153" s="22">
        <f t="shared" si="4"/>
        <v>0</v>
      </c>
      <c r="H153" s="22">
        <f t="shared" si="5"/>
        <v>0</v>
      </c>
      <c r="I153" s="15">
        <v>7800</v>
      </c>
      <c r="J153" s="15" t="s">
        <v>17</v>
      </c>
    </row>
    <row r="154" spans="5:10" x14ac:dyDescent="0.25">
      <c r="E154" s="15" t="s">
        <v>67</v>
      </c>
      <c r="G154" s="22">
        <f t="shared" si="4"/>
        <v>0</v>
      </c>
      <c r="H154" s="22">
        <f t="shared" si="5"/>
        <v>0</v>
      </c>
      <c r="I154" s="15">
        <v>7800</v>
      </c>
      <c r="J154" s="15" t="s">
        <v>17</v>
      </c>
    </row>
    <row r="155" spans="5:10" x14ac:dyDescent="0.25">
      <c r="E155" s="15" t="s">
        <v>67</v>
      </c>
      <c r="G155" s="22">
        <f t="shared" si="4"/>
        <v>0</v>
      </c>
      <c r="H155" s="22">
        <f t="shared" si="5"/>
        <v>0</v>
      </c>
      <c r="I155" s="15">
        <v>7800</v>
      </c>
      <c r="J155" s="15" t="s">
        <v>17</v>
      </c>
    </row>
    <row r="156" spans="5:10" x14ac:dyDescent="0.25">
      <c r="E156" s="15" t="s">
        <v>67</v>
      </c>
      <c r="G156" s="22">
        <f t="shared" si="4"/>
        <v>0</v>
      </c>
      <c r="H156" s="22">
        <f t="shared" si="5"/>
        <v>0</v>
      </c>
      <c r="I156" s="15">
        <v>7800</v>
      </c>
      <c r="J156" s="15" t="s">
        <v>17</v>
      </c>
    </row>
    <row r="157" spans="5:10" x14ac:dyDescent="0.25">
      <c r="E157" s="15" t="s">
        <v>67</v>
      </c>
      <c r="G157" s="22">
        <f t="shared" si="4"/>
        <v>0</v>
      </c>
      <c r="H157" s="22">
        <f t="shared" si="5"/>
        <v>0</v>
      </c>
      <c r="I157" s="15">
        <v>7800</v>
      </c>
      <c r="J157" s="15" t="s">
        <v>17</v>
      </c>
    </row>
    <row r="158" spans="5:10" x14ac:dyDescent="0.25">
      <c r="E158" s="15" t="s">
        <v>67</v>
      </c>
      <c r="G158" s="22">
        <f t="shared" si="4"/>
        <v>0</v>
      </c>
      <c r="H158" s="22">
        <f t="shared" si="5"/>
        <v>0</v>
      </c>
      <c r="I158" s="15">
        <v>7800</v>
      </c>
      <c r="J158" s="15" t="s">
        <v>17</v>
      </c>
    </row>
    <row r="159" spans="5:10" x14ac:dyDescent="0.25">
      <c r="E159" s="15" t="s">
        <v>67</v>
      </c>
      <c r="G159" s="22">
        <f t="shared" si="4"/>
        <v>0</v>
      </c>
      <c r="H159" s="22">
        <f t="shared" si="5"/>
        <v>0</v>
      </c>
      <c r="I159" s="15">
        <v>7800</v>
      </c>
      <c r="J159" s="15" t="s">
        <v>17</v>
      </c>
    </row>
    <row r="160" spans="5:10" x14ac:dyDescent="0.25">
      <c r="E160" s="15" t="s">
        <v>67</v>
      </c>
      <c r="G160" s="22">
        <f t="shared" si="4"/>
        <v>0</v>
      </c>
      <c r="H160" s="22">
        <f t="shared" si="5"/>
        <v>0</v>
      </c>
      <c r="I160" s="15">
        <v>7800</v>
      </c>
      <c r="J160" s="15" t="s">
        <v>17</v>
      </c>
    </row>
    <row r="161" spans="5:10" x14ac:dyDescent="0.25">
      <c r="E161" s="15" t="s">
        <v>67</v>
      </c>
      <c r="G161" s="22">
        <f t="shared" si="4"/>
        <v>0</v>
      </c>
      <c r="H161" s="22">
        <f t="shared" si="5"/>
        <v>0</v>
      </c>
      <c r="I161" s="15">
        <v>7800</v>
      </c>
      <c r="J161" s="15" t="s">
        <v>17</v>
      </c>
    </row>
    <row r="162" spans="5:10" x14ac:dyDescent="0.25">
      <c r="E162" s="15" t="s">
        <v>67</v>
      </c>
      <c r="G162" s="22">
        <f t="shared" si="4"/>
        <v>0</v>
      </c>
      <c r="H162" s="22">
        <f t="shared" si="5"/>
        <v>0</v>
      </c>
      <c r="I162" s="15">
        <v>7800</v>
      </c>
      <c r="J162" s="15" t="s">
        <v>17</v>
      </c>
    </row>
    <row r="163" spans="5:10" x14ac:dyDescent="0.25">
      <c r="E163" s="15" t="s">
        <v>67</v>
      </c>
      <c r="G163" s="22">
        <f t="shared" si="4"/>
        <v>0</v>
      </c>
      <c r="H163" s="22">
        <f t="shared" si="5"/>
        <v>0</v>
      </c>
      <c r="I163" s="15">
        <v>7800</v>
      </c>
      <c r="J163" s="15" t="s">
        <v>17</v>
      </c>
    </row>
    <row r="164" spans="5:10" x14ac:dyDescent="0.25">
      <c r="E164" s="15" t="s">
        <v>67</v>
      </c>
      <c r="G164" s="22">
        <f t="shared" si="4"/>
        <v>0</v>
      </c>
      <c r="H164" s="22">
        <f t="shared" si="5"/>
        <v>0</v>
      </c>
      <c r="I164" s="15">
        <v>7800</v>
      </c>
      <c r="J164" s="15" t="s">
        <v>17</v>
      </c>
    </row>
    <row r="165" spans="5:10" x14ac:dyDescent="0.25">
      <c r="E165" s="15" t="s">
        <v>67</v>
      </c>
      <c r="G165" s="22">
        <f t="shared" si="4"/>
        <v>0</v>
      </c>
      <c r="H165" s="22">
        <f t="shared" si="5"/>
        <v>0</v>
      </c>
      <c r="I165" s="15">
        <v>7800</v>
      </c>
      <c r="J165" s="15" t="s">
        <v>17</v>
      </c>
    </row>
    <row r="166" spans="5:10" x14ac:dyDescent="0.25">
      <c r="E166" s="15" t="s">
        <v>67</v>
      </c>
      <c r="G166" s="22">
        <f t="shared" si="4"/>
        <v>0</v>
      </c>
      <c r="H166" s="22">
        <f t="shared" si="5"/>
        <v>0</v>
      </c>
      <c r="I166" s="15">
        <v>7800</v>
      </c>
      <c r="J166" s="15" t="s">
        <v>17</v>
      </c>
    </row>
    <row r="167" spans="5:10" x14ac:dyDescent="0.25">
      <c r="E167" s="15" t="s">
        <v>67</v>
      </c>
      <c r="G167" s="22">
        <f t="shared" si="4"/>
        <v>0</v>
      </c>
      <c r="H167" s="22">
        <f t="shared" si="5"/>
        <v>0</v>
      </c>
      <c r="I167" s="15">
        <v>7800</v>
      </c>
      <c r="J167" s="15" t="s">
        <v>17</v>
      </c>
    </row>
    <row r="168" spans="5:10" x14ac:dyDescent="0.25">
      <c r="E168" s="15" t="s">
        <v>67</v>
      </c>
      <c r="G168" s="22">
        <f t="shared" ref="G168:G231" si="6">SUM(F168/100*20)</f>
        <v>0</v>
      </c>
      <c r="H168" s="22">
        <f t="shared" ref="H168:H231" si="7">SUM(F168:G168)</f>
        <v>0</v>
      </c>
      <c r="I168" s="15">
        <v>7800</v>
      </c>
      <c r="J168" s="15" t="s">
        <v>17</v>
      </c>
    </row>
    <row r="169" spans="5:10" x14ac:dyDescent="0.25">
      <c r="E169" s="15" t="s">
        <v>67</v>
      </c>
      <c r="G169" s="22">
        <f t="shared" si="6"/>
        <v>0</v>
      </c>
      <c r="H169" s="22">
        <f t="shared" si="7"/>
        <v>0</v>
      </c>
      <c r="I169" s="15">
        <v>7800</v>
      </c>
      <c r="J169" s="15" t="s">
        <v>17</v>
      </c>
    </row>
    <row r="170" spans="5:10" x14ac:dyDescent="0.25">
      <c r="E170" s="15" t="s">
        <v>67</v>
      </c>
      <c r="G170" s="22">
        <f t="shared" si="6"/>
        <v>0</v>
      </c>
      <c r="H170" s="22">
        <f t="shared" si="7"/>
        <v>0</v>
      </c>
      <c r="I170" s="15">
        <v>7800</v>
      </c>
      <c r="J170" s="15" t="s">
        <v>17</v>
      </c>
    </row>
    <row r="171" spans="5:10" x14ac:dyDescent="0.25">
      <c r="E171" s="15" t="s">
        <v>67</v>
      </c>
      <c r="G171" s="22">
        <f t="shared" si="6"/>
        <v>0</v>
      </c>
      <c r="H171" s="22">
        <f t="shared" si="7"/>
        <v>0</v>
      </c>
      <c r="I171" s="15">
        <v>7800</v>
      </c>
      <c r="J171" s="15" t="s">
        <v>17</v>
      </c>
    </row>
    <row r="172" spans="5:10" x14ac:dyDescent="0.25">
      <c r="E172" s="15" t="s">
        <v>67</v>
      </c>
      <c r="G172" s="22">
        <f t="shared" si="6"/>
        <v>0</v>
      </c>
      <c r="H172" s="22">
        <f t="shared" si="7"/>
        <v>0</v>
      </c>
      <c r="I172" s="15">
        <v>7800</v>
      </c>
      <c r="J172" s="15" t="s">
        <v>17</v>
      </c>
    </row>
    <row r="173" spans="5:10" x14ac:dyDescent="0.25">
      <c r="E173" s="15" t="s">
        <v>67</v>
      </c>
      <c r="G173" s="22">
        <f t="shared" si="6"/>
        <v>0</v>
      </c>
      <c r="H173" s="22">
        <f t="shared" si="7"/>
        <v>0</v>
      </c>
      <c r="I173" s="15">
        <v>7800</v>
      </c>
      <c r="J173" s="15" t="s">
        <v>17</v>
      </c>
    </row>
    <row r="174" spans="5:10" x14ac:dyDescent="0.25">
      <c r="E174" s="15" t="s">
        <v>67</v>
      </c>
      <c r="G174" s="22">
        <f t="shared" si="6"/>
        <v>0</v>
      </c>
      <c r="H174" s="22">
        <f t="shared" si="7"/>
        <v>0</v>
      </c>
      <c r="I174" s="15">
        <v>7800</v>
      </c>
      <c r="J174" s="15" t="s">
        <v>17</v>
      </c>
    </row>
    <row r="175" spans="5:10" x14ac:dyDescent="0.25">
      <c r="E175" s="15" t="s">
        <v>67</v>
      </c>
      <c r="G175" s="22">
        <f t="shared" si="6"/>
        <v>0</v>
      </c>
      <c r="H175" s="22">
        <f t="shared" si="7"/>
        <v>0</v>
      </c>
      <c r="I175" s="15">
        <v>7800</v>
      </c>
      <c r="J175" s="15" t="s">
        <v>17</v>
      </c>
    </row>
    <row r="176" spans="5:10" x14ac:dyDescent="0.25">
      <c r="E176" s="15" t="s">
        <v>67</v>
      </c>
      <c r="G176" s="22">
        <f t="shared" si="6"/>
        <v>0</v>
      </c>
      <c r="H176" s="22">
        <f t="shared" si="7"/>
        <v>0</v>
      </c>
      <c r="I176" s="15">
        <v>7800</v>
      </c>
      <c r="J176" s="15" t="s">
        <v>17</v>
      </c>
    </row>
    <row r="177" spans="5:10" x14ac:dyDescent="0.25">
      <c r="E177" s="15" t="s">
        <v>67</v>
      </c>
      <c r="G177" s="22">
        <f t="shared" si="6"/>
        <v>0</v>
      </c>
      <c r="H177" s="22">
        <f t="shared" si="7"/>
        <v>0</v>
      </c>
      <c r="I177" s="15">
        <v>7800</v>
      </c>
      <c r="J177" s="15" t="s">
        <v>17</v>
      </c>
    </row>
    <row r="178" spans="5:10" x14ac:dyDescent="0.25">
      <c r="E178" s="15" t="s">
        <v>67</v>
      </c>
      <c r="G178" s="22">
        <f t="shared" si="6"/>
        <v>0</v>
      </c>
      <c r="H178" s="22">
        <f t="shared" si="7"/>
        <v>0</v>
      </c>
      <c r="I178" s="15">
        <v>7800</v>
      </c>
      <c r="J178" s="15" t="s">
        <v>17</v>
      </c>
    </row>
    <row r="179" spans="5:10" x14ac:dyDescent="0.25">
      <c r="E179" s="15" t="s">
        <v>67</v>
      </c>
      <c r="G179" s="22">
        <f t="shared" si="6"/>
        <v>0</v>
      </c>
      <c r="H179" s="22">
        <f t="shared" si="7"/>
        <v>0</v>
      </c>
      <c r="I179" s="15">
        <v>7800</v>
      </c>
      <c r="J179" s="15" t="s">
        <v>17</v>
      </c>
    </row>
    <row r="180" spans="5:10" x14ac:dyDescent="0.25">
      <c r="E180" s="15" t="s">
        <v>67</v>
      </c>
      <c r="G180" s="22">
        <f t="shared" si="6"/>
        <v>0</v>
      </c>
      <c r="H180" s="22">
        <f t="shared" si="7"/>
        <v>0</v>
      </c>
      <c r="I180" s="15">
        <v>7800</v>
      </c>
      <c r="J180" s="15" t="s">
        <v>17</v>
      </c>
    </row>
    <row r="181" spans="5:10" x14ac:dyDescent="0.25">
      <c r="E181" s="15" t="s">
        <v>67</v>
      </c>
      <c r="G181" s="22">
        <f t="shared" si="6"/>
        <v>0</v>
      </c>
      <c r="H181" s="22">
        <f t="shared" si="7"/>
        <v>0</v>
      </c>
      <c r="I181" s="15">
        <v>7800</v>
      </c>
      <c r="J181" s="15" t="s">
        <v>17</v>
      </c>
    </row>
    <row r="182" spans="5:10" x14ac:dyDescent="0.25">
      <c r="E182" s="15" t="s">
        <v>67</v>
      </c>
      <c r="G182" s="22">
        <f t="shared" si="6"/>
        <v>0</v>
      </c>
      <c r="H182" s="22">
        <f t="shared" si="7"/>
        <v>0</v>
      </c>
      <c r="I182" s="15">
        <v>7800</v>
      </c>
      <c r="J182" s="15" t="s">
        <v>17</v>
      </c>
    </row>
    <row r="183" spans="5:10" x14ac:dyDescent="0.25">
      <c r="E183" s="15" t="s">
        <v>67</v>
      </c>
      <c r="G183" s="22">
        <f t="shared" si="6"/>
        <v>0</v>
      </c>
      <c r="H183" s="22">
        <f t="shared" si="7"/>
        <v>0</v>
      </c>
      <c r="I183" s="15">
        <v>7800</v>
      </c>
      <c r="J183" s="15" t="s">
        <v>17</v>
      </c>
    </row>
    <row r="184" spans="5:10" x14ac:dyDescent="0.25">
      <c r="E184" s="15" t="s">
        <v>67</v>
      </c>
      <c r="G184" s="22">
        <f t="shared" si="6"/>
        <v>0</v>
      </c>
      <c r="H184" s="22">
        <f t="shared" si="7"/>
        <v>0</v>
      </c>
      <c r="I184" s="15">
        <v>7800</v>
      </c>
      <c r="J184" s="15" t="s">
        <v>17</v>
      </c>
    </row>
    <row r="185" spans="5:10" x14ac:dyDescent="0.25">
      <c r="E185" s="15" t="s">
        <v>67</v>
      </c>
      <c r="G185" s="22">
        <f t="shared" si="6"/>
        <v>0</v>
      </c>
      <c r="H185" s="22">
        <f t="shared" si="7"/>
        <v>0</v>
      </c>
      <c r="I185" s="15">
        <v>7800</v>
      </c>
      <c r="J185" s="15" t="s">
        <v>17</v>
      </c>
    </row>
    <row r="186" spans="5:10" x14ac:dyDescent="0.25">
      <c r="E186" s="15" t="s">
        <v>67</v>
      </c>
      <c r="G186" s="22">
        <f t="shared" si="6"/>
        <v>0</v>
      </c>
      <c r="H186" s="22">
        <f t="shared" si="7"/>
        <v>0</v>
      </c>
      <c r="I186" s="15">
        <v>7800</v>
      </c>
      <c r="J186" s="15" t="s">
        <v>17</v>
      </c>
    </row>
    <row r="187" spans="5:10" x14ac:dyDescent="0.25">
      <c r="E187" s="15" t="s">
        <v>67</v>
      </c>
      <c r="G187" s="22">
        <f t="shared" si="6"/>
        <v>0</v>
      </c>
      <c r="H187" s="22">
        <f t="shared" si="7"/>
        <v>0</v>
      </c>
      <c r="I187" s="15">
        <v>7800</v>
      </c>
      <c r="J187" s="15" t="s">
        <v>17</v>
      </c>
    </row>
    <row r="188" spans="5:10" x14ac:dyDescent="0.25">
      <c r="E188" s="15" t="s">
        <v>67</v>
      </c>
      <c r="G188" s="22">
        <f t="shared" si="6"/>
        <v>0</v>
      </c>
      <c r="H188" s="22">
        <f t="shared" si="7"/>
        <v>0</v>
      </c>
      <c r="I188" s="15">
        <v>7800</v>
      </c>
      <c r="J188" s="15" t="s">
        <v>17</v>
      </c>
    </row>
    <row r="189" spans="5:10" x14ac:dyDescent="0.25">
      <c r="E189" s="15" t="s">
        <v>67</v>
      </c>
      <c r="G189" s="22">
        <f t="shared" si="6"/>
        <v>0</v>
      </c>
      <c r="H189" s="22">
        <f t="shared" si="7"/>
        <v>0</v>
      </c>
      <c r="I189" s="15">
        <v>7800</v>
      </c>
      <c r="J189" s="15" t="s">
        <v>17</v>
      </c>
    </row>
    <row r="190" spans="5:10" x14ac:dyDescent="0.25">
      <c r="E190" s="15" t="s">
        <v>67</v>
      </c>
      <c r="G190" s="22">
        <f t="shared" si="6"/>
        <v>0</v>
      </c>
      <c r="H190" s="22">
        <f t="shared" si="7"/>
        <v>0</v>
      </c>
      <c r="I190" s="15">
        <v>7800</v>
      </c>
      <c r="J190" s="15" t="s">
        <v>17</v>
      </c>
    </row>
    <row r="191" spans="5:10" x14ac:dyDescent="0.25">
      <c r="E191" s="15" t="s">
        <v>67</v>
      </c>
      <c r="G191" s="22">
        <f t="shared" si="6"/>
        <v>0</v>
      </c>
      <c r="H191" s="22">
        <f t="shared" si="7"/>
        <v>0</v>
      </c>
      <c r="I191" s="15">
        <v>7800</v>
      </c>
      <c r="J191" s="15" t="s">
        <v>17</v>
      </c>
    </row>
    <row r="192" spans="5:10" x14ac:dyDescent="0.25">
      <c r="E192" s="15" t="s">
        <v>67</v>
      </c>
      <c r="G192" s="22">
        <f t="shared" si="6"/>
        <v>0</v>
      </c>
      <c r="H192" s="22">
        <f t="shared" si="7"/>
        <v>0</v>
      </c>
      <c r="I192" s="15">
        <v>7800</v>
      </c>
      <c r="J192" s="15" t="s">
        <v>17</v>
      </c>
    </row>
    <row r="193" spans="5:10" x14ac:dyDescent="0.25">
      <c r="E193" s="15" t="s">
        <v>67</v>
      </c>
      <c r="G193" s="22">
        <f t="shared" si="6"/>
        <v>0</v>
      </c>
      <c r="H193" s="22">
        <f t="shared" si="7"/>
        <v>0</v>
      </c>
      <c r="I193" s="15">
        <v>7800</v>
      </c>
      <c r="J193" s="15" t="s">
        <v>17</v>
      </c>
    </row>
    <row r="194" spans="5:10" x14ac:dyDescent="0.25">
      <c r="E194" s="15" t="s">
        <v>67</v>
      </c>
      <c r="G194" s="22">
        <f t="shared" si="6"/>
        <v>0</v>
      </c>
      <c r="H194" s="22">
        <f t="shared" si="7"/>
        <v>0</v>
      </c>
      <c r="I194" s="15">
        <v>7800</v>
      </c>
      <c r="J194" s="15" t="s">
        <v>17</v>
      </c>
    </row>
    <row r="195" spans="5:10" x14ac:dyDescent="0.25">
      <c r="E195" s="15" t="s">
        <v>67</v>
      </c>
      <c r="G195" s="22">
        <f t="shared" si="6"/>
        <v>0</v>
      </c>
      <c r="H195" s="22">
        <f t="shared" si="7"/>
        <v>0</v>
      </c>
      <c r="I195" s="15">
        <v>7800</v>
      </c>
      <c r="J195" s="15" t="s">
        <v>17</v>
      </c>
    </row>
    <row r="196" spans="5:10" x14ac:dyDescent="0.25">
      <c r="E196" s="15" t="s">
        <v>67</v>
      </c>
      <c r="G196" s="22">
        <f t="shared" si="6"/>
        <v>0</v>
      </c>
      <c r="H196" s="22">
        <f t="shared" si="7"/>
        <v>0</v>
      </c>
      <c r="I196" s="15">
        <v>7800</v>
      </c>
      <c r="J196" s="15" t="s">
        <v>17</v>
      </c>
    </row>
    <row r="197" spans="5:10" x14ac:dyDescent="0.25">
      <c r="E197" s="15" t="s">
        <v>67</v>
      </c>
      <c r="G197" s="22">
        <f t="shared" si="6"/>
        <v>0</v>
      </c>
      <c r="H197" s="22">
        <f t="shared" si="7"/>
        <v>0</v>
      </c>
      <c r="I197" s="15">
        <v>7800</v>
      </c>
      <c r="J197" s="15" t="s">
        <v>17</v>
      </c>
    </row>
    <row r="198" spans="5:10" x14ac:dyDescent="0.25">
      <c r="E198" s="15" t="s">
        <v>67</v>
      </c>
      <c r="G198" s="22">
        <f t="shared" si="6"/>
        <v>0</v>
      </c>
      <c r="H198" s="22">
        <f t="shared" si="7"/>
        <v>0</v>
      </c>
      <c r="I198" s="15">
        <v>7800</v>
      </c>
      <c r="J198" s="15" t="s">
        <v>17</v>
      </c>
    </row>
    <row r="199" spans="5:10" x14ac:dyDescent="0.25">
      <c r="E199" s="15" t="s">
        <v>67</v>
      </c>
      <c r="G199" s="22">
        <f t="shared" si="6"/>
        <v>0</v>
      </c>
      <c r="H199" s="22">
        <f t="shared" si="7"/>
        <v>0</v>
      </c>
      <c r="I199" s="15">
        <v>7800</v>
      </c>
      <c r="J199" s="15" t="s">
        <v>17</v>
      </c>
    </row>
    <row r="200" spans="5:10" x14ac:dyDescent="0.25">
      <c r="E200" s="15" t="s">
        <v>67</v>
      </c>
      <c r="G200" s="22">
        <f t="shared" si="6"/>
        <v>0</v>
      </c>
      <c r="H200" s="22">
        <f t="shared" si="7"/>
        <v>0</v>
      </c>
      <c r="I200" s="15">
        <v>7800</v>
      </c>
      <c r="J200" s="15" t="s">
        <v>17</v>
      </c>
    </row>
    <row r="201" spans="5:10" x14ac:dyDescent="0.25">
      <c r="E201" s="15" t="s">
        <v>67</v>
      </c>
      <c r="G201" s="22">
        <f t="shared" si="6"/>
        <v>0</v>
      </c>
      <c r="H201" s="22">
        <f t="shared" si="7"/>
        <v>0</v>
      </c>
      <c r="I201" s="15">
        <v>7800</v>
      </c>
      <c r="J201" s="15" t="s">
        <v>17</v>
      </c>
    </row>
    <row r="202" spans="5:10" x14ac:dyDescent="0.25">
      <c r="E202" s="15" t="s">
        <v>67</v>
      </c>
      <c r="G202" s="22">
        <f t="shared" si="6"/>
        <v>0</v>
      </c>
      <c r="H202" s="22">
        <f t="shared" si="7"/>
        <v>0</v>
      </c>
      <c r="I202" s="15">
        <v>7800</v>
      </c>
      <c r="J202" s="15" t="s">
        <v>17</v>
      </c>
    </row>
    <row r="203" spans="5:10" x14ac:dyDescent="0.25">
      <c r="E203" s="15" t="s">
        <v>67</v>
      </c>
      <c r="G203" s="22">
        <f t="shared" si="6"/>
        <v>0</v>
      </c>
      <c r="H203" s="22">
        <f t="shared" si="7"/>
        <v>0</v>
      </c>
      <c r="I203" s="15">
        <v>7800</v>
      </c>
      <c r="J203" s="15" t="s">
        <v>17</v>
      </c>
    </row>
    <row r="204" spans="5:10" x14ac:dyDescent="0.25">
      <c r="E204" s="15" t="s">
        <v>67</v>
      </c>
      <c r="G204" s="22">
        <f t="shared" si="6"/>
        <v>0</v>
      </c>
      <c r="H204" s="22">
        <f t="shared" si="7"/>
        <v>0</v>
      </c>
      <c r="I204" s="15">
        <v>7800</v>
      </c>
      <c r="J204" s="15" t="s">
        <v>17</v>
      </c>
    </row>
    <row r="205" spans="5:10" x14ac:dyDescent="0.25">
      <c r="E205" s="15" t="s">
        <v>67</v>
      </c>
      <c r="G205" s="22">
        <f t="shared" si="6"/>
        <v>0</v>
      </c>
      <c r="H205" s="22">
        <f t="shared" si="7"/>
        <v>0</v>
      </c>
      <c r="I205" s="15">
        <v>7800</v>
      </c>
      <c r="J205" s="15" t="s">
        <v>17</v>
      </c>
    </row>
    <row r="206" spans="5:10" x14ac:dyDescent="0.25">
      <c r="E206" s="15" t="s">
        <v>67</v>
      </c>
      <c r="G206" s="22">
        <f t="shared" si="6"/>
        <v>0</v>
      </c>
      <c r="H206" s="22">
        <f t="shared" si="7"/>
        <v>0</v>
      </c>
      <c r="I206" s="15">
        <v>7800</v>
      </c>
      <c r="J206" s="15" t="s">
        <v>17</v>
      </c>
    </row>
    <row r="207" spans="5:10" x14ac:dyDescent="0.25">
      <c r="E207" s="15" t="s">
        <v>67</v>
      </c>
      <c r="G207" s="22">
        <f t="shared" si="6"/>
        <v>0</v>
      </c>
      <c r="H207" s="22">
        <f t="shared" si="7"/>
        <v>0</v>
      </c>
      <c r="I207" s="15">
        <v>7800</v>
      </c>
      <c r="J207" s="15" t="s">
        <v>17</v>
      </c>
    </row>
    <row r="208" spans="5:10" x14ac:dyDescent="0.25">
      <c r="E208" s="15" t="s">
        <v>67</v>
      </c>
      <c r="G208" s="22">
        <f t="shared" si="6"/>
        <v>0</v>
      </c>
      <c r="H208" s="22">
        <f t="shared" si="7"/>
        <v>0</v>
      </c>
      <c r="I208" s="15">
        <v>7800</v>
      </c>
      <c r="J208" s="15" t="s">
        <v>17</v>
      </c>
    </row>
    <row r="209" spans="5:10" x14ac:dyDescent="0.25">
      <c r="E209" s="15" t="s">
        <v>67</v>
      </c>
      <c r="G209" s="22">
        <f t="shared" si="6"/>
        <v>0</v>
      </c>
      <c r="H209" s="22">
        <f t="shared" si="7"/>
        <v>0</v>
      </c>
      <c r="I209" s="15">
        <v>7800</v>
      </c>
      <c r="J209" s="15" t="s">
        <v>17</v>
      </c>
    </row>
    <row r="210" spans="5:10" x14ac:dyDescent="0.25">
      <c r="E210" s="15" t="s">
        <v>67</v>
      </c>
      <c r="G210" s="22">
        <f t="shared" si="6"/>
        <v>0</v>
      </c>
      <c r="H210" s="22">
        <f t="shared" si="7"/>
        <v>0</v>
      </c>
      <c r="I210" s="15">
        <v>7800</v>
      </c>
      <c r="J210" s="15" t="s">
        <v>17</v>
      </c>
    </row>
    <row r="211" spans="5:10" x14ac:dyDescent="0.25">
      <c r="E211" s="15" t="s">
        <v>67</v>
      </c>
      <c r="G211" s="22">
        <f t="shared" si="6"/>
        <v>0</v>
      </c>
      <c r="H211" s="22">
        <f t="shared" si="7"/>
        <v>0</v>
      </c>
      <c r="I211" s="15">
        <v>7800</v>
      </c>
      <c r="J211" s="15" t="s">
        <v>17</v>
      </c>
    </row>
    <row r="212" spans="5:10" x14ac:dyDescent="0.25">
      <c r="E212" s="15" t="s">
        <v>67</v>
      </c>
      <c r="G212" s="22">
        <f t="shared" si="6"/>
        <v>0</v>
      </c>
      <c r="H212" s="22">
        <f t="shared" si="7"/>
        <v>0</v>
      </c>
      <c r="I212" s="15">
        <v>7800</v>
      </c>
      <c r="J212" s="15" t="s">
        <v>17</v>
      </c>
    </row>
    <row r="213" spans="5:10" x14ac:dyDescent="0.25">
      <c r="E213" s="15" t="s">
        <v>67</v>
      </c>
      <c r="G213" s="22">
        <f t="shared" si="6"/>
        <v>0</v>
      </c>
      <c r="H213" s="22">
        <f t="shared" si="7"/>
        <v>0</v>
      </c>
      <c r="I213" s="15">
        <v>7800</v>
      </c>
      <c r="J213" s="15" t="s">
        <v>17</v>
      </c>
    </row>
    <row r="214" spans="5:10" x14ac:dyDescent="0.25">
      <c r="E214" s="15" t="s">
        <v>67</v>
      </c>
      <c r="G214" s="22">
        <f t="shared" si="6"/>
        <v>0</v>
      </c>
      <c r="H214" s="22">
        <f t="shared" si="7"/>
        <v>0</v>
      </c>
      <c r="I214" s="15">
        <v>7800</v>
      </c>
      <c r="J214" s="15" t="s">
        <v>17</v>
      </c>
    </row>
    <row r="215" spans="5:10" x14ac:dyDescent="0.25">
      <c r="E215" s="15" t="s">
        <v>67</v>
      </c>
      <c r="G215" s="22">
        <f t="shared" si="6"/>
        <v>0</v>
      </c>
      <c r="H215" s="22">
        <f t="shared" si="7"/>
        <v>0</v>
      </c>
      <c r="I215" s="15">
        <v>7800</v>
      </c>
      <c r="J215" s="15" t="s">
        <v>17</v>
      </c>
    </row>
    <row r="216" spans="5:10" x14ac:dyDescent="0.25">
      <c r="E216" s="15" t="s">
        <v>67</v>
      </c>
      <c r="G216" s="22">
        <f t="shared" si="6"/>
        <v>0</v>
      </c>
      <c r="H216" s="22">
        <f t="shared" si="7"/>
        <v>0</v>
      </c>
      <c r="I216" s="15">
        <v>7800</v>
      </c>
      <c r="J216" s="15" t="s">
        <v>17</v>
      </c>
    </row>
    <row r="217" spans="5:10" x14ac:dyDescent="0.25">
      <c r="E217" s="15" t="s">
        <v>67</v>
      </c>
      <c r="G217" s="22">
        <f t="shared" si="6"/>
        <v>0</v>
      </c>
      <c r="H217" s="22">
        <f t="shared" si="7"/>
        <v>0</v>
      </c>
      <c r="I217" s="15">
        <v>7800</v>
      </c>
      <c r="J217" s="15" t="s">
        <v>17</v>
      </c>
    </row>
    <row r="218" spans="5:10" x14ac:dyDescent="0.25">
      <c r="E218" s="15" t="s">
        <v>67</v>
      </c>
      <c r="G218" s="22">
        <f t="shared" si="6"/>
        <v>0</v>
      </c>
      <c r="H218" s="22">
        <f t="shared" si="7"/>
        <v>0</v>
      </c>
      <c r="I218" s="15">
        <v>7800</v>
      </c>
      <c r="J218" s="15" t="s">
        <v>17</v>
      </c>
    </row>
    <row r="219" spans="5:10" x14ac:dyDescent="0.25">
      <c r="E219" s="15" t="s">
        <v>67</v>
      </c>
      <c r="G219" s="22">
        <f t="shared" si="6"/>
        <v>0</v>
      </c>
      <c r="H219" s="22">
        <f t="shared" si="7"/>
        <v>0</v>
      </c>
      <c r="I219" s="15">
        <v>7800</v>
      </c>
      <c r="J219" s="15" t="s">
        <v>17</v>
      </c>
    </row>
    <row r="220" spans="5:10" x14ac:dyDescent="0.25">
      <c r="E220" s="15" t="s">
        <v>67</v>
      </c>
      <c r="G220" s="22">
        <f t="shared" si="6"/>
        <v>0</v>
      </c>
      <c r="H220" s="22">
        <f t="shared" si="7"/>
        <v>0</v>
      </c>
      <c r="I220" s="15">
        <v>7800</v>
      </c>
      <c r="J220" s="15" t="s">
        <v>17</v>
      </c>
    </row>
    <row r="221" spans="5:10" x14ac:dyDescent="0.25">
      <c r="E221" s="15" t="s">
        <v>67</v>
      </c>
      <c r="G221" s="22">
        <f t="shared" si="6"/>
        <v>0</v>
      </c>
      <c r="H221" s="22">
        <f t="shared" si="7"/>
        <v>0</v>
      </c>
      <c r="I221" s="15">
        <v>7800</v>
      </c>
      <c r="J221" s="15" t="s">
        <v>17</v>
      </c>
    </row>
    <row r="222" spans="5:10" x14ac:dyDescent="0.25">
      <c r="E222" s="15" t="s">
        <v>67</v>
      </c>
      <c r="G222" s="22">
        <f t="shared" si="6"/>
        <v>0</v>
      </c>
      <c r="H222" s="22">
        <f t="shared" si="7"/>
        <v>0</v>
      </c>
      <c r="I222" s="15">
        <v>7800</v>
      </c>
      <c r="J222" s="15" t="s">
        <v>17</v>
      </c>
    </row>
    <row r="223" spans="5:10" x14ac:dyDescent="0.25">
      <c r="E223" s="15" t="s">
        <v>67</v>
      </c>
      <c r="G223" s="22">
        <f t="shared" si="6"/>
        <v>0</v>
      </c>
      <c r="H223" s="22">
        <f t="shared" si="7"/>
        <v>0</v>
      </c>
      <c r="I223" s="15">
        <v>7800</v>
      </c>
      <c r="J223" s="15" t="s">
        <v>17</v>
      </c>
    </row>
    <row r="224" spans="5:10" x14ac:dyDescent="0.25">
      <c r="E224" s="15" t="s">
        <v>67</v>
      </c>
      <c r="G224" s="22">
        <f t="shared" si="6"/>
        <v>0</v>
      </c>
      <c r="H224" s="22">
        <f t="shared" si="7"/>
        <v>0</v>
      </c>
      <c r="I224" s="15">
        <v>7800</v>
      </c>
      <c r="J224" s="15" t="s">
        <v>17</v>
      </c>
    </row>
    <row r="225" spans="5:10" x14ac:dyDescent="0.25">
      <c r="E225" s="15" t="s">
        <v>67</v>
      </c>
      <c r="G225" s="22">
        <f t="shared" si="6"/>
        <v>0</v>
      </c>
      <c r="H225" s="22">
        <f t="shared" si="7"/>
        <v>0</v>
      </c>
      <c r="I225" s="15">
        <v>7800</v>
      </c>
      <c r="J225" s="15" t="s">
        <v>17</v>
      </c>
    </row>
    <row r="226" spans="5:10" x14ac:dyDescent="0.25">
      <c r="E226" s="15" t="s">
        <v>67</v>
      </c>
      <c r="G226" s="22">
        <f t="shared" si="6"/>
        <v>0</v>
      </c>
      <c r="H226" s="22">
        <f t="shared" si="7"/>
        <v>0</v>
      </c>
      <c r="I226" s="15">
        <v>7800</v>
      </c>
      <c r="J226" s="15" t="s">
        <v>17</v>
      </c>
    </row>
    <row r="227" spans="5:10" x14ac:dyDescent="0.25">
      <c r="E227" s="15" t="s">
        <v>67</v>
      </c>
      <c r="G227" s="22">
        <f t="shared" si="6"/>
        <v>0</v>
      </c>
      <c r="H227" s="22">
        <f t="shared" si="7"/>
        <v>0</v>
      </c>
      <c r="I227" s="15">
        <v>7800</v>
      </c>
      <c r="J227" s="15" t="s">
        <v>17</v>
      </c>
    </row>
    <row r="228" spans="5:10" x14ac:dyDescent="0.25">
      <c r="E228" s="15" t="s">
        <v>67</v>
      </c>
      <c r="G228" s="22">
        <f t="shared" si="6"/>
        <v>0</v>
      </c>
      <c r="H228" s="22">
        <f t="shared" si="7"/>
        <v>0</v>
      </c>
      <c r="I228" s="15">
        <v>7800</v>
      </c>
      <c r="J228" s="15" t="s">
        <v>17</v>
      </c>
    </row>
    <row r="229" spans="5:10" x14ac:dyDescent="0.25">
      <c r="E229" s="15" t="s">
        <v>67</v>
      </c>
      <c r="G229" s="22">
        <f t="shared" si="6"/>
        <v>0</v>
      </c>
      <c r="H229" s="22">
        <f t="shared" si="7"/>
        <v>0</v>
      </c>
      <c r="I229" s="15">
        <v>7800</v>
      </c>
      <c r="J229" s="15" t="s">
        <v>17</v>
      </c>
    </row>
    <row r="230" spans="5:10" x14ac:dyDescent="0.25">
      <c r="E230" s="15" t="s">
        <v>67</v>
      </c>
      <c r="G230" s="22">
        <f t="shared" si="6"/>
        <v>0</v>
      </c>
      <c r="H230" s="22">
        <f t="shared" si="7"/>
        <v>0</v>
      </c>
      <c r="I230" s="15">
        <v>7800</v>
      </c>
      <c r="J230" s="15" t="s">
        <v>17</v>
      </c>
    </row>
    <row r="231" spans="5:10" x14ac:dyDescent="0.25">
      <c r="E231" s="15" t="s">
        <v>67</v>
      </c>
      <c r="G231" s="22">
        <f t="shared" si="6"/>
        <v>0</v>
      </c>
      <c r="H231" s="22">
        <f t="shared" si="7"/>
        <v>0</v>
      </c>
      <c r="I231" s="15">
        <v>7800</v>
      </c>
      <c r="J231" s="15" t="s">
        <v>17</v>
      </c>
    </row>
    <row r="232" spans="5:10" x14ac:dyDescent="0.25">
      <c r="E232" s="15" t="s">
        <v>67</v>
      </c>
      <c r="G232" s="22">
        <f t="shared" ref="G232:G293" si="8">SUM(F232/100*20)</f>
        <v>0</v>
      </c>
      <c r="H232" s="22">
        <f t="shared" ref="H232:H293" si="9">SUM(F232:G232)</f>
        <v>0</v>
      </c>
      <c r="I232" s="15">
        <v>7800</v>
      </c>
      <c r="J232" s="15" t="s">
        <v>17</v>
      </c>
    </row>
    <row r="233" spans="5:10" x14ac:dyDescent="0.25">
      <c r="E233" s="15" t="s">
        <v>67</v>
      </c>
      <c r="G233" s="22">
        <f t="shared" si="8"/>
        <v>0</v>
      </c>
      <c r="H233" s="22">
        <f t="shared" si="9"/>
        <v>0</v>
      </c>
      <c r="I233" s="15">
        <v>7800</v>
      </c>
      <c r="J233" s="15" t="s">
        <v>17</v>
      </c>
    </row>
    <row r="234" spans="5:10" x14ac:dyDescent="0.25">
      <c r="E234" s="15" t="s">
        <v>67</v>
      </c>
      <c r="G234" s="22">
        <f t="shared" si="8"/>
        <v>0</v>
      </c>
      <c r="H234" s="22">
        <f t="shared" si="9"/>
        <v>0</v>
      </c>
      <c r="I234" s="15">
        <v>7800</v>
      </c>
      <c r="J234" s="15" t="s">
        <v>17</v>
      </c>
    </row>
    <row r="235" spans="5:10" x14ac:dyDescent="0.25">
      <c r="E235" s="15" t="s">
        <v>67</v>
      </c>
      <c r="G235" s="22">
        <f t="shared" si="8"/>
        <v>0</v>
      </c>
      <c r="H235" s="22">
        <f t="shared" si="9"/>
        <v>0</v>
      </c>
      <c r="I235" s="15">
        <v>7800</v>
      </c>
      <c r="J235" s="15" t="s">
        <v>17</v>
      </c>
    </row>
    <row r="236" spans="5:10" x14ac:dyDescent="0.25">
      <c r="E236" s="15" t="s">
        <v>67</v>
      </c>
      <c r="G236" s="22">
        <f t="shared" si="8"/>
        <v>0</v>
      </c>
      <c r="H236" s="22">
        <f t="shared" si="9"/>
        <v>0</v>
      </c>
      <c r="I236" s="15">
        <v>7800</v>
      </c>
      <c r="J236" s="15" t="s">
        <v>17</v>
      </c>
    </row>
    <row r="237" spans="5:10" x14ac:dyDescent="0.25">
      <c r="E237" s="15" t="s">
        <v>67</v>
      </c>
      <c r="G237" s="22">
        <f t="shared" si="8"/>
        <v>0</v>
      </c>
      <c r="H237" s="22">
        <f t="shared" si="9"/>
        <v>0</v>
      </c>
      <c r="I237" s="15">
        <v>7800</v>
      </c>
      <c r="J237" s="15" t="s">
        <v>17</v>
      </c>
    </row>
    <row r="238" spans="5:10" x14ac:dyDescent="0.25">
      <c r="E238" s="15" t="s">
        <v>67</v>
      </c>
      <c r="G238" s="22">
        <f t="shared" si="8"/>
        <v>0</v>
      </c>
      <c r="H238" s="22">
        <f t="shared" si="9"/>
        <v>0</v>
      </c>
      <c r="I238" s="15">
        <v>7800</v>
      </c>
      <c r="J238" s="15" t="s">
        <v>17</v>
      </c>
    </row>
    <row r="239" spans="5:10" x14ac:dyDescent="0.25">
      <c r="E239" s="15" t="s">
        <v>67</v>
      </c>
      <c r="G239" s="22">
        <f t="shared" si="8"/>
        <v>0</v>
      </c>
      <c r="H239" s="22">
        <f t="shared" si="9"/>
        <v>0</v>
      </c>
      <c r="I239" s="15">
        <v>7800</v>
      </c>
      <c r="J239" s="15" t="s">
        <v>17</v>
      </c>
    </row>
    <row r="240" spans="5:10" x14ac:dyDescent="0.25">
      <c r="E240" s="15" t="s">
        <v>67</v>
      </c>
      <c r="G240" s="22">
        <f t="shared" si="8"/>
        <v>0</v>
      </c>
      <c r="H240" s="22">
        <f t="shared" si="9"/>
        <v>0</v>
      </c>
      <c r="I240" s="15">
        <v>7800</v>
      </c>
      <c r="J240" s="15" t="s">
        <v>17</v>
      </c>
    </row>
    <row r="241" spans="5:10" x14ac:dyDescent="0.25">
      <c r="E241" s="15" t="s">
        <v>67</v>
      </c>
      <c r="G241" s="22">
        <f t="shared" si="8"/>
        <v>0</v>
      </c>
      <c r="H241" s="22">
        <f t="shared" si="9"/>
        <v>0</v>
      </c>
      <c r="I241" s="15">
        <v>7800</v>
      </c>
      <c r="J241" s="15" t="s">
        <v>17</v>
      </c>
    </row>
    <row r="242" spans="5:10" x14ac:dyDescent="0.25">
      <c r="E242" s="15" t="s">
        <v>67</v>
      </c>
      <c r="G242" s="22">
        <f t="shared" si="8"/>
        <v>0</v>
      </c>
      <c r="H242" s="22">
        <f t="shared" si="9"/>
        <v>0</v>
      </c>
      <c r="I242" s="15">
        <v>7800</v>
      </c>
      <c r="J242" s="15" t="s">
        <v>17</v>
      </c>
    </row>
    <row r="243" spans="5:10" x14ac:dyDescent="0.25">
      <c r="E243" s="15" t="s">
        <v>67</v>
      </c>
      <c r="G243" s="22">
        <f t="shared" si="8"/>
        <v>0</v>
      </c>
      <c r="H243" s="22">
        <f t="shared" si="9"/>
        <v>0</v>
      </c>
      <c r="I243" s="15">
        <v>7800</v>
      </c>
      <c r="J243" s="15" t="s">
        <v>17</v>
      </c>
    </row>
    <row r="244" spans="5:10" x14ac:dyDescent="0.25">
      <c r="E244" s="15" t="s">
        <v>67</v>
      </c>
      <c r="G244" s="22">
        <f t="shared" si="8"/>
        <v>0</v>
      </c>
      <c r="H244" s="22">
        <f t="shared" si="9"/>
        <v>0</v>
      </c>
      <c r="I244" s="15">
        <v>7800</v>
      </c>
      <c r="J244" s="15" t="s">
        <v>17</v>
      </c>
    </row>
    <row r="245" spans="5:10" x14ac:dyDescent="0.25">
      <c r="E245" s="15" t="s">
        <v>67</v>
      </c>
      <c r="G245" s="22">
        <f t="shared" si="8"/>
        <v>0</v>
      </c>
      <c r="H245" s="22">
        <f t="shared" si="9"/>
        <v>0</v>
      </c>
      <c r="I245" s="15">
        <v>7800</v>
      </c>
      <c r="J245" s="15" t="s">
        <v>17</v>
      </c>
    </row>
    <row r="246" spans="5:10" x14ac:dyDescent="0.25">
      <c r="E246" s="15" t="s">
        <v>67</v>
      </c>
      <c r="G246" s="22">
        <f t="shared" si="8"/>
        <v>0</v>
      </c>
      <c r="H246" s="22">
        <f t="shared" si="9"/>
        <v>0</v>
      </c>
      <c r="I246" s="15">
        <v>7800</v>
      </c>
      <c r="J246" s="15" t="s">
        <v>17</v>
      </c>
    </row>
    <row r="247" spans="5:10" x14ac:dyDescent="0.25">
      <c r="E247" s="15" t="s">
        <v>67</v>
      </c>
      <c r="G247" s="22">
        <f t="shared" si="8"/>
        <v>0</v>
      </c>
      <c r="H247" s="22">
        <f t="shared" si="9"/>
        <v>0</v>
      </c>
      <c r="I247" s="15">
        <v>7800</v>
      </c>
      <c r="J247" s="15" t="s">
        <v>17</v>
      </c>
    </row>
    <row r="248" spans="5:10" x14ac:dyDescent="0.25">
      <c r="E248" s="15" t="s">
        <v>67</v>
      </c>
      <c r="G248" s="22">
        <f t="shared" si="8"/>
        <v>0</v>
      </c>
      <c r="H248" s="22">
        <f t="shared" si="9"/>
        <v>0</v>
      </c>
      <c r="I248" s="15">
        <v>7800</v>
      </c>
      <c r="J248" s="15" t="s">
        <v>17</v>
      </c>
    </row>
    <row r="249" spans="5:10" x14ac:dyDescent="0.25">
      <c r="E249" s="15" t="s">
        <v>67</v>
      </c>
      <c r="G249" s="22">
        <f t="shared" si="8"/>
        <v>0</v>
      </c>
      <c r="H249" s="22">
        <f t="shared" si="9"/>
        <v>0</v>
      </c>
      <c r="I249" s="15">
        <v>7800</v>
      </c>
      <c r="J249" s="15" t="s">
        <v>17</v>
      </c>
    </row>
    <row r="250" spans="5:10" x14ac:dyDescent="0.25">
      <c r="E250" s="15" t="s">
        <v>67</v>
      </c>
      <c r="G250" s="22">
        <f t="shared" si="8"/>
        <v>0</v>
      </c>
      <c r="H250" s="22">
        <f t="shared" si="9"/>
        <v>0</v>
      </c>
      <c r="I250" s="15">
        <v>7800</v>
      </c>
      <c r="J250" s="15" t="s">
        <v>17</v>
      </c>
    </row>
    <row r="251" spans="5:10" x14ac:dyDescent="0.25">
      <c r="E251" s="15" t="s">
        <v>67</v>
      </c>
      <c r="G251" s="22">
        <f t="shared" si="8"/>
        <v>0</v>
      </c>
      <c r="H251" s="22">
        <f t="shared" si="9"/>
        <v>0</v>
      </c>
      <c r="I251" s="15">
        <v>7800</v>
      </c>
      <c r="J251" s="15" t="s">
        <v>17</v>
      </c>
    </row>
    <row r="252" spans="5:10" x14ac:dyDescent="0.25">
      <c r="E252" s="15" t="s">
        <v>67</v>
      </c>
      <c r="G252" s="22">
        <f t="shared" si="8"/>
        <v>0</v>
      </c>
      <c r="H252" s="22">
        <f t="shared" si="9"/>
        <v>0</v>
      </c>
      <c r="I252" s="15">
        <v>7800</v>
      </c>
      <c r="J252" s="15" t="s">
        <v>17</v>
      </c>
    </row>
    <row r="253" spans="5:10" x14ac:dyDescent="0.25">
      <c r="E253" s="15" t="s">
        <v>67</v>
      </c>
      <c r="G253" s="22">
        <f t="shared" si="8"/>
        <v>0</v>
      </c>
      <c r="H253" s="22">
        <f t="shared" si="9"/>
        <v>0</v>
      </c>
      <c r="I253" s="15">
        <v>7800</v>
      </c>
      <c r="J253" s="15" t="s">
        <v>17</v>
      </c>
    </row>
    <row r="254" spans="5:10" x14ac:dyDescent="0.25">
      <c r="E254" s="15" t="s">
        <v>67</v>
      </c>
      <c r="G254" s="22">
        <f t="shared" si="8"/>
        <v>0</v>
      </c>
      <c r="H254" s="22">
        <f t="shared" si="9"/>
        <v>0</v>
      </c>
      <c r="I254" s="15">
        <v>7800</v>
      </c>
      <c r="J254" s="15" t="s">
        <v>17</v>
      </c>
    </row>
    <row r="255" spans="5:10" x14ac:dyDescent="0.25">
      <c r="E255" s="15" t="s">
        <v>67</v>
      </c>
      <c r="G255" s="22">
        <f t="shared" si="8"/>
        <v>0</v>
      </c>
      <c r="H255" s="22">
        <f t="shared" si="9"/>
        <v>0</v>
      </c>
      <c r="I255" s="15">
        <v>7800</v>
      </c>
      <c r="J255" s="15" t="s">
        <v>17</v>
      </c>
    </row>
    <row r="256" spans="5:10" x14ac:dyDescent="0.25">
      <c r="E256" s="15" t="s">
        <v>67</v>
      </c>
      <c r="G256" s="22">
        <f t="shared" si="8"/>
        <v>0</v>
      </c>
      <c r="H256" s="22">
        <f t="shared" si="9"/>
        <v>0</v>
      </c>
      <c r="I256" s="15">
        <v>7800</v>
      </c>
      <c r="J256" s="15" t="s">
        <v>17</v>
      </c>
    </row>
    <row r="257" spans="5:10" x14ac:dyDescent="0.25">
      <c r="E257" s="15" t="s">
        <v>67</v>
      </c>
      <c r="G257" s="22">
        <f t="shared" si="8"/>
        <v>0</v>
      </c>
      <c r="H257" s="22">
        <f t="shared" si="9"/>
        <v>0</v>
      </c>
      <c r="I257" s="15">
        <v>7800</v>
      </c>
      <c r="J257" s="15" t="s">
        <v>17</v>
      </c>
    </row>
    <row r="258" spans="5:10" x14ac:dyDescent="0.25">
      <c r="E258" s="15" t="s">
        <v>67</v>
      </c>
      <c r="G258" s="22">
        <f t="shared" si="8"/>
        <v>0</v>
      </c>
      <c r="H258" s="22">
        <f t="shared" si="9"/>
        <v>0</v>
      </c>
      <c r="I258" s="15">
        <v>7800</v>
      </c>
      <c r="J258" s="15" t="s">
        <v>17</v>
      </c>
    </row>
    <row r="259" spans="5:10" x14ac:dyDescent="0.25">
      <c r="E259" s="15" t="s">
        <v>67</v>
      </c>
      <c r="G259" s="22">
        <f t="shared" si="8"/>
        <v>0</v>
      </c>
      <c r="H259" s="22">
        <f t="shared" si="9"/>
        <v>0</v>
      </c>
      <c r="I259" s="15">
        <v>7800</v>
      </c>
      <c r="J259" s="15" t="s">
        <v>17</v>
      </c>
    </row>
    <row r="260" spans="5:10" x14ac:dyDescent="0.25">
      <c r="E260" s="15" t="s">
        <v>67</v>
      </c>
      <c r="G260" s="22">
        <f t="shared" si="8"/>
        <v>0</v>
      </c>
      <c r="H260" s="22">
        <f t="shared" si="9"/>
        <v>0</v>
      </c>
      <c r="I260" s="15">
        <v>7800</v>
      </c>
      <c r="J260" s="15" t="s">
        <v>17</v>
      </c>
    </row>
    <row r="261" spans="5:10" x14ac:dyDescent="0.25">
      <c r="E261" s="15" t="s">
        <v>67</v>
      </c>
      <c r="G261" s="22">
        <f t="shared" si="8"/>
        <v>0</v>
      </c>
      <c r="H261" s="22">
        <f t="shared" si="9"/>
        <v>0</v>
      </c>
      <c r="I261" s="15">
        <v>7800</v>
      </c>
      <c r="J261" s="15" t="s">
        <v>17</v>
      </c>
    </row>
    <row r="262" spans="5:10" x14ac:dyDescent="0.25">
      <c r="E262" s="15" t="s">
        <v>67</v>
      </c>
      <c r="G262" s="22">
        <f t="shared" si="8"/>
        <v>0</v>
      </c>
      <c r="H262" s="22">
        <f t="shared" si="9"/>
        <v>0</v>
      </c>
      <c r="I262" s="15">
        <v>7800</v>
      </c>
      <c r="J262" s="15" t="s">
        <v>17</v>
      </c>
    </row>
    <row r="263" spans="5:10" x14ac:dyDescent="0.25">
      <c r="E263" s="15" t="s">
        <v>67</v>
      </c>
      <c r="G263" s="22">
        <f t="shared" si="8"/>
        <v>0</v>
      </c>
      <c r="H263" s="22">
        <f t="shared" si="9"/>
        <v>0</v>
      </c>
      <c r="I263" s="15">
        <v>7800</v>
      </c>
      <c r="J263" s="15" t="s">
        <v>17</v>
      </c>
    </row>
    <row r="264" spans="5:10" x14ac:dyDescent="0.25">
      <c r="E264" s="15" t="s">
        <v>67</v>
      </c>
      <c r="G264" s="22">
        <f t="shared" si="8"/>
        <v>0</v>
      </c>
      <c r="H264" s="22">
        <f t="shared" si="9"/>
        <v>0</v>
      </c>
      <c r="I264" s="15">
        <v>7800</v>
      </c>
      <c r="J264" s="15" t="s">
        <v>17</v>
      </c>
    </row>
    <row r="265" spans="5:10" x14ac:dyDescent="0.25">
      <c r="E265" s="15" t="s">
        <v>67</v>
      </c>
      <c r="G265" s="22">
        <f t="shared" si="8"/>
        <v>0</v>
      </c>
      <c r="H265" s="22">
        <f t="shared" si="9"/>
        <v>0</v>
      </c>
      <c r="I265" s="15">
        <v>7800</v>
      </c>
      <c r="J265" s="15" t="s">
        <v>17</v>
      </c>
    </row>
    <row r="266" spans="5:10" x14ac:dyDescent="0.25">
      <c r="E266" s="15" t="s">
        <v>67</v>
      </c>
      <c r="G266" s="22">
        <f t="shared" si="8"/>
        <v>0</v>
      </c>
      <c r="H266" s="22">
        <f t="shared" si="9"/>
        <v>0</v>
      </c>
      <c r="I266" s="15">
        <v>7800</v>
      </c>
      <c r="J266" s="15" t="s">
        <v>17</v>
      </c>
    </row>
    <row r="267" spans="5:10" x14ac:dyDescent="0.25">
      <c r="E267" s="15" t="s">
        <v>67</v>
      </c>
      <c r="G267" s="22">
        <f t="shared" si="8"/>
        <v>0</v>
      </c>
      <c r="H267" s="22">
        <f t="shared" si="9"/>
        <v>0</v>
      </c>
      <c r="I267" s="15">
        <v>7800</v>
      </c>
      <c r="J267" s="15" t="s">
        <v>17</v>
      </c>
    </row>
    <row r="268" spans="5:10" x14ac:dyDescent="0.25">
      <c r="E268" s="15" t="s">
        <v>67</v>
      </c>
      <c r="G268" s="22">
        <f t="shared" si="8"/>
        <v>0</v>
      </c>
      <c r="H268" s="22">
        <f t="shared" si="9"/>
        <v>0</v>
      </c>
      <c r="I268" s="15">
        <v>7800</v>
      </c>
      <c r="J268" s="15" t="s">
        <v>17</v>
      </c>
    </row>
    <row r="269" spans="5:10" x14ac:dyDescent="0.25">
      <c r="E269" s="15" t="s">
        <v>67</v>
      </c>
      <c r="G269" s="22">
        <f t="shared" si="8"/>
        <v>0</v>
      </c>
      <c r="H269" s="22">
        <f t="shared" si="9"/>
        <v>0</v>
      </c>
      <c r="I269" s="15">
        <v>7800</v>
      </c>
      <c r="J269" s="15" t="s">
        <v>17</v>
      </c>
    </row>
    <row r="270" spans="5:10" x14ac:dyDescent="0.25">
      <c r="E270" s="15" t="s">
        <v>67</v>
      </c>
      <c r="G270" s="22">
        <f t="shared" si="8"/>
        <v>0</v>
      </c>
      <c r="H270" s="22">
        <f t="shared" si="9"/>
        <v>0</v>
      </c>
      <c r="I270" s="15">
        <v>7800</v>
      </c>
      <c r="J270" s="15" t="s">
        <v>17</v>
      </c>
    </row>
    <row r="271" spans="5:10" x14ac:dyDescent="0.25">
      <c r="E271" s="15" t="s">
        <v>67</v>
      </c>
      <c r="G271" s="22">
        <f t="shared" si="8"/>
        <v>0</v>
      </c>
      <c r="H271" s="22">
        <f t="shared" si="9"/>
        <v>0</v>
      </c>
      <c r="I271" s="15">
        <v>7800</v>
      </c>
      <c r="J271" s="15" t="s">
        <v>17</v>
      </c>
    </row>
    <row r="272" spans="5:10" x14ac:dyDescent="0.25">
      <c r="E272" s="15" t="s">
        <v>67</v>
      </c>
      <c r="G272" s="22">
        <f t="shared" si="8"/>
        <v>0</v>
      </c>
      <c r="H272" s="22">
        <f t="shared" si="9"/>
        <v>0</v>
      </c>
      <c r="I272" s="15">
        <v>7800</v>
      </c>
      <c r="J272" s="15" t="s">
        <v>17</v>
      </c>
    </row>
    <row r="273" spans="5:10" x14ac:dyDescent="0.25">
      <c r="E273" s="15" t="s">
        <v>67</v>
      </c>
      <c r="G273" s="22">
        <f t="shared" si="8"/>
        <v>0</v>
      </c>
      <c r="H273" s="22">
        <f t="shared" si="9"/>
        <v>0</v>
      </c>
      <c r="I273" s="15">
        <v>7800</v>
      </c>
      <c r="J273" s="15" t="s">
        <v>17</v>
      </c>
    </row>
    <row r="274" spans="5:10" x14ac:dyDescent="0.25">
      <c r="E274" s="15" t="s">
        <v>67</v>
      </c>
      <c r="G274" s="22">
        <f t="shared" si="8"/>
        <v>0</v>
      </c>
      <c r="H274" s="22">
        <f t="shared" si="9"/>
        <v>0</v>
      </c>
      <c r="I274" s="15">
        <v>7800</v>
      </c>
      <c r="J274" s="15" t="s">
        <v>17</v>
      </c>
    </row>
    <row r="275" spans="5:10" x14ac:dyDescent="0.25">
      <c r="E275" s="15" t="s">
        <v>67</v>
      </c>
      <c r="G275" s="22">
        <f t="shared" si="8"/>
        <v>0</v>
      </c>
      <c r="H275" s="22">
        <f t="shared" si="9"/>
        <v>0</v>
      </c>
      <c r="I275" s="15">
        <v>7800</v>
      </c>
      <c r="J275" s="15" t="s">
        <v>17</v>
      </c>
    </row>
    <row r="276" spans="5:10" x14ac:dyDescent="0.25">
      <c r="E276" s="15" t="s">
        <v>67</v>
      </c>
      <c r="G276" s="22">
        <f t="shared" si="8"/>
        <v>0</v>
      </c>
      <c r="H276" s="22">
        <f t="shared" si="9"/>
        <v>0</v>
      </c>
      <c r="I276" s="15">
        <v>7800</v>
      </c>
      <c r="J276" s="15" t="s">
        <v>17</v>
      </c>
    </row>
    <row r="277" spans="5:10" x14ac:dyDescent="0.25">
      <c r="E277" s="15" t="s">
        <v>67</v>
      </c>
      <c r="G277" s="22">
        <f t="shared" si="8"/>
        <v>0</v>
      </c>
      <c r="H277" s="22">
        <f t="shared" si="9"/>
        <v>0</v>
      </c>
      <c r="I277" s="15">
        <v>7800</v>
      </c>
      <c r="J277" s="15" t="s">
        <v>17</v>
      </c>
    </row>
    <row r="278" spans="5:10" x14ac:dyDescent="0.25">
      <c r="E278" s="15" t="s">
        <v>67</v>
      </c>
      <c r="G278" s="22">
        <f t="shared" si="8"/>
        <v>0</v>
      </c>
      <c r="H278" s="22">
        <f t="shared" si="9"/>
        <v>0</v>
      </c>
      <c r="I278" s="15">
        <v>7800</v>
      </c>
      <c r="J278" s="15" t="s">
        <v>17</v>
      </c>
    </row>
    <row r="279" spans="5:10" x14ac:dyDescent="0.25">
      <c r="E279" s="15" t="s">
        <v>67</v>
      </c>
      <c r="G279" s="22">
        <f t="shared" si="8"/>
        <v>0</v>
      </c>
      <c r="H279" s="22">
        <f t="shared" si="9"/>
        <v>0</v>
      </c>
      <c r="I279" s="15">
        <v>7800</v>
      </c>
      <c r="J279" s="15" t="s">
        <v>17</v>
      </c>
    </row>
    <row r="280" spans="5:10" x14ac:dyDescent="0.25">
      <c r="E280" s="15" t="s">
        <v>67</v>
      </c>
      <c r="G280" s="22">
        <f t="shared" si="8"/>
        <v>0</v>
      </c>
      <c r="H280" s="22">
        <f t="shared" si="9"/>
        <v>0</v>
      </c>
      <c r="I280" s="15">
        <v>7800</v>
      </c>
      <c r="J280" s="15" t="s">
        <v>17</v>
      </c>
    </row>
    <row r="281" spans="5:10" x14ac:dyDescent="0.25">
      <c r="E281" s="15" t="s">
        <v>67</v>
      </c>
      <c r="G281" s="22">
        <f t="shared" si="8"/>
        <v>0</v>
      </c>
      <c r="H281" s="22">
        <f t="shared" si="9"/>
        <v>0</v>
      </c>
      <c r="I281" s="15">
        <v>7800</v>
      </c>
      <c r="J281" s="15" t="s">
        <v>17</v>
      </c>
    </row>
    <row r="282" spans="5:10" x14ac:dyDescent="0.25">
      <c r="E282" s="15" t="s">
        <v>67</v>
      </c>
      <c r="G282" s="22">
        <f t="shared" si="8"/>
        <v>0</v>
      </c>
      <c r="H282" s="22">
        <f t="shared" si="9"/>
        <v>0</v>
      </c>
      <c r="I282" s="15">
        <v>7800</v>
      </c>
      <c r="J282" s="15" t="s">
        <v>17</v>
      </c>
    </row>
    <row r="283" spans="5:10" x14ac:dyDescent="0.25">
      <c r="E283" s="15" t="s">
        <v>67</v>
      </c>
      <c r="G283" s="22">
        <f t="shared" si="8"/>
        <v>0</v>
      </c>
      <c r="H283" s="22">
        <f t="shared" si="9"/>
        <v>0</v>
      </c>
      <c r="I283" s="15">
        <v>7800</v>
      </c>
      <c r="J283" s="15" t="s">
        <v>17</v>
      </c>
    </row>
    <row r="284" spans="5:10" x14ac:dyDescent="0.25">
      <c r="E284" s="15" t="s">
        <v>67</v>
      </c>
      <c r="G284" s="22">
        <f t="shared" si="8"/>
        <v>0</v>
      </c>
      <c r="H284" s="22">
        <f t="shared" si="9"/>
        <v>0</v>
      </c>
      <c r="I284" s="15">
        <v>7800</v>
      </c>
      <c r="J284" s="15" t="s">
        <v>17</v>
      </c>
    </row>
    <row r="285" spans="5:10" x14ac:dyDescent="0.25">
      <c r="E285" s="15" t="s">
        <v>67</v>
      </c>
      <c r="G285" s="22">
        <f t="shared" si="8"/>
        <v>0</v>
      </c>
      <c r="H285" s="22">
        <f t="shared" si="9"/>
        <v>0</v>
      </c>
      <c r="I285" s="15">
        <v>7800</v>
      </c>
      <c r="J285" s="15" t="s">
        <v>17</v>
      </c>
    </row>
    <row r="286" spans="5:10" x14ac:dyDescent="0.25">
      <c r="E286" s="15" t="s">
        <v>67</v>
      </c>
      <c r="G286" s="22">
        <f t="shared" si="8"/>
        <v>0</v>
      </c>
      <c r="H286" s="22">
        <f t="shared" si="9"/>
        <v>0</v>
      </c>
      <c r="I286" s="15">
        <v>7800</v>
      </c>
      <c r="J286" s="15" t="s">
        <v>17</v>
      </c>
    </row>
    <row r="287" spans="5:10" x14ac:dyDescent="0.25">
      <c r="E287" s="15" t="s">
        <v>67</v>
      </c>
      <c r="G287" s="22">
        <f t="shared" si="8"/>
        <v>0</v>
      </c>
      <c r="H287" s="22">
        <f t="shared" si="9"/>
        <v>0</v>
      </c>
      <c r="I287" s="15">
        <v>7800</v>
      </c>
      <c r="J287" s="15" t="s">
        <v>17</v>
      </c>
    </row>
    <row r="288" spans="5:10" x14ac:dyDescent="0.25">
      <c r="E288" s="15" t="s">
        <v>67</v>
      </c>
      <c r="G288" s="22">
        <f t="shared" si="8"/>
        <v>0</v>
      </c>
      <c r="H288" s="22">
        <f t="shared" si="9"/>
        <v>0</v>
      </c>
      <c r="I288" s="15">
        <v>7800</v>
      </c>
      <c r="J288" s="15" t="s">
        <v>17</v>
      </c>
    </row>
    <row r="289" spans="5:10" x14ac:dyDescent="0.25">
      <c r="E289" s="15" t="s">
        <v>67</v>
      </c>
      <c r="G289" s="22">
        <f t="shared" si="8"/>
        <v>0</v>
      </c>
      <c r="H289" s="22">
        <f t="shared" si="9"/>
        <v>0</v>
      </c>
      <c r="I289" s="15">
        <v>7800</v>
      </c>
      <c r="J289" s="15" t="s">
        <v>17</v>
      </c>
    </row>
    <row r="290" spans="5:10" x14ac:dyDescent="0.25">
      <c r="E290" s="15" t="s">
        <v>67</v>
      </c>
      <c r="G290" s="22">
        <f t="shared" si="8"/>
        <v>0</v>
      </c>
      <c r="H290" s="22">
        <f t="shared" si="9"/>
        <v>0</v>
      </c>
      <c r="I290" s="15">
        <v>7800</v>
      </c>
      <c r="J290" s="15" t="s">
        <v>17</v>
      </c>
    </row>
    <row r="291" spans="5:10" x14ac:dyDescent="0.25">
      <c r="E291" s="15" t="s">
        <v>67</v>
      </c>
      <c r="G291" s="22">
        <f t="shared" si="8"/>
        <v>0</v>
      </c>
      <c r="H291" s="22">
        <f t="shared" si="9"/>
        <v>0</v>
      </c>
      <c r="I291" s="15">
        <v>7800</v>
      </c>
      <c r="J291" s="15" t="s">
        <v>17</v>
      </c>
    </row>
    <row r="292" spans="5:10" x14ac:dyDescent="0.25">
      <c r="E292" s="15" t="s">
        <v>67</v>
      </c>
      <c r="G292" s="22">
        <f t="shared" si="8"/>
        <v>0</v>
      </c>
      <c r="H292" s="22">
        <f t="shared" si="9"/>
        <v>0</v>
      </c>
      <c r="I292" s="15">
        <v>7800</v>
      </c>
      <c r="J292" s="15" t="s">
        <v>17</v>
      </c>
    </row>
    <row r="293" spans="5:10" x14ac:dyDescent="0.25">
      <c r="E293" s="15" t="s">
        <v>67</v>
      </c>
      <c r="G293" s="22">
        <f t="shared" si="8"/>
        <v>0</v>
      </c>
      <c r="H293" s="22">
        <f t="shared" si="9"/>
        <v>0</v>
      </c>
      <c r="I293" s="15">
        <v>7800</v>
      </c>
      <c r="J293" s="15" t="s">
        <v>17</v>
      </c>
    </row>
  </sheetData>
  <autoFilter ref="A2:M433" xr:uid="{A6AD006C-E33E-4B10-8018-7B4D7DDDB81B}"/>
  <mergeCells count="1">
    <mergeCell ref="A1:L1"/>
  </mergeCells>
  <phoneticPr fontId="4" type="noConversion"/>
  <pageMargins left="0.7" right="0.7" top="0.75" bottom="0.75" header="0.3" footer="0.3"/>
  <pageSetup paperSize="9"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B671E-9FAC-4501-87B6-44D847A5A4AF}">
  <dimension ref="A1:M321"/>
  <sheetViews>
    <sheetView zoomScaleNormal="100" workbookViewId="0">
      <pane ySplit="2" topLeftCell="A18" activePane="bottomLeft" state="frozen"/>
      <selection pane="bottomLeft" activeCell="L26" sqref="L26"/>
    </sheetView>
  </sheetViews>
  <sheetFormatPr defaultColWidth="9.140625" defaultRowHeight="12.75" outlineLevelCol="1" x14ac:dyDescent="0.25"/>
  <cols>
    <col min="1" max="1" width="20.140625" style="15" bestFit="1" customWidth="1"/>
    <col min="2" max="2" width="21.28515625" style="15" bestFit="1" customWidth="1"/>
    <col min="3" max="3" width="31.7109375" style="15" bestFit="1" customWidth="1"/>
    <col min="4" max="4" width="19.42578125" style="15" bestFit="1" customWidth="1"/>
    <col min="5" max="5" width="16" style="15" bestFit="1" customWidth="1"/>
    <col min="6" max="6" width="16" style="22" bestFit="1" customWidth="1" outlineLevel="1"/>
    <col min="7" max="7" width="10" style="22" bestFit="1" customWidth="1" outlineLevel="1"/>
    <col min="8" max="8" width="18.7109375" style="22" bestFit="1" customWidth="1"/>
    <col min="9" max="9" width="11.5703125" style="15" bestFit="1" customWidth="1"/>
    <col min="10" max="10" width="21" style="15" bestFit="1" customWidth="1"/>
    <col min="11" max="11" width="17.7109375" style="15" bestFit="1" customWidth="1"/>
    <col min="12" max="12" width="22.42578125" style="15" bestFit="1" customWidth="1"/>
    <col min="13" max="13" width="33.7109375" style="15" customWidth="1"/>
    <col min="14" max="16384" width="9.140625" style="15"/>
  </cols>
  <sheetData>
    <row r="1" spans="1:13" s="18" customFormat="1" x14ac:dyDescent="0.25">
      <c r="A1" s="46" t="s">
        <v>82</v>
      </c>
      <c r="B1" s="46"/>
      <c r="C1" s="46"/>
      <c r="D1" s="46"/>
      <c r="E1" s="46"/>
      <c r="F1" s="46"/>
      <c r="G1" s="46"/>
      <c r="H1" s="46"/>
      <c r="I1" s="46"/>
      <c r="J1" s="46"/>
      <c r="K1" s="46"/>
      <c r="L1" s="46"/>
      <c r="M1" s="17"/>
    </row>
    <row r="2" spans="1:13" s="27" customFormat="1" x14ac:dyDescent="0.25">
      <c r="A2" s="24" t="s">
        <v>0</v>
      </c>
      <c r="B2" s="23" t="s">
        <v>1</v>
      </c>
      <c r="C2" s="23" t="s">
        <v>2</v>
      </c>
      <c r="D2" s="24" t="s">
        <v>4</v>
      </c>
      <c r="E2" s="23" t="s">
        <v>5</v>
      </c>
      <c r="F2" s="25" t="s">
        <v>6</v>
      </c>
      <c r="G2" s="25" t="s">
        <v>7</v>
      </c>
      <c r="H2" s="25" t="s">
        <v>8</v>
      </c>
      <c r="I2" s="26" t="s">
        <v>9</v>
      </c>
      <c r="J2" s="23" t="s">
        <v>10</v>
      </c>
      <c r="K2" s="23" t="s">
        <v>11</v>
      </c>
      <c r="L2" s="24" t="s">
        <v>12</v>
      </c>
      <c r="M2" s="23" t="s">
        <v>13</v>
      </c>
    </row>
    <row r="3" spans="1:13" x14ac:dyDescent="0.25">
      <c r="A3" s="21">
        <v>45806</v>
      </c>
      <c r="B3" s="15" t="s">
        <v>36</v>
      </c>
      <c r="C3" s="12" t="s">
        <v>224</v>
      </c>
      <c r="D3" s="21">
        <v>45793</v>
      </c>
      <c r="E3" s="15" t="s">
        <v>84</v>
      </c>
      <c r="F3" s="22">
        <v>95</v>
      </c>
      <c r="G3" s="22">
        <f t="shared" ref="G3:G17" si="0">F3/100*20</f>
        <v>19</v>
      </c>
      <c r="H3" s="22">
        <f t="shared" ref="H3:H17" si="1">SUM(F3:G3)</f>
        <v>114</v>
      </c>
      <c r="I3" s="15">
        <v>7800</v>
      </c>
      <c r="J3" s="15" t="s">
        <v>85</v>
      </c>
      <c r="K3" s="15">
        <v>33948</v>
      </c>
      <c r="L3" s="21">
        <v>45814</v>
      </c>
    </row>
    <row r="4" spans="1:13" x14ac:dyDescent="0.25">
      <c r="A4" s="21">
        <v>45811</v>
      </c>
      <c r="B4" s="15" t="s">
        <v>225</v>
      </c>
      <c r="C4" s="15" t="s">
        <v>83</v>
      </c>
      <c r="D4" s="21">
        <v>45797</v>
      </c>
      <c r="E4" s="15" t="s">
        <v>84</v>
      </c>
      <c r="F4" s="22">
        <v>95</v>
      </c>
      <c r="G4" s="22">
        <f t="shared" si="0"/>
        <v>19</v>
      </c>
      <c r="H4" s="22">
        <f t="shared" si="1"/>
        <v>114</v>
      </c>
      <c r="I4" s="15">
        <v>7800</v>
      </c>
      <c r="J4" s="15" t="s">
        <v>85</v>
      </c>
      <c r="K4" s="15">
        <v>34123</v>
      </c>
      <c r="L4" s="21">
        <v>45814</v>
      </c>
    </row>
    <row r="5" spans="1:13" x14ac:dyDescent="0.25">
      <c r="A5" s="21">
        <v>45811</v>
      </c>
      <c r="B5" s="15" t="s">
        <v>226</v>
      </c>
      <c r="C5" s="15" t="s">
        <v>227</v>
      </c>
      <c r="D5" s="21">
        <v>45805</v>
      </c>
      <c r="E5" s="15" t="s">
        <v>84</v>
      </c>
      <c r="F5" s="22">
        <v>95</v>
      </c>
      <c r="G5" s="22">
        <f t="shared" si="0"/>
        <v>19</v>
      </c>
      <c r="H5" s="22">
        <f t="shared" si="1"/>
        <v>114</v>
      </c>
      <c r="I5" s="15">
        <v>7800</v>
      </c>
      <c r="J5" s="15" t="s">
        <v>85</v>
      </c>
      <c r="K5" s="15">
        <v>34162</v>
      </c>
      <c r="L5" s="21">
        <v>45814</v>
      </c>
    </row>
    <row r="6" spans="1:13" x14ac:dyDescent="0.25">
      <c r="A6" s="21">
        <v>45811</v>
      </c>
      <c r="B6" s="15" t="s">
        <v>228</v>
      </c>
      <c r="C6" s="15" t="s">
        <v>224</v>
      </c>
      <c r="D6" s="21">
        <v>45805</v>
      </c>
      <c r="E6" s="15" t="s">
        <v>84</v>
      </c>
      <c r="F6" s="22">
        <v>95</v>
      </c>
      <c r="G6" s="22">
        <f t="shared" si="0"/>
        <v>19</v>
      </c>
      <c r="H6" s="22">
        <f t="shared" si="1"/>
        <v>114</v>
      </c>
      <c r="I6" s="15">
        <v>7800</v>
      </c>
      <c r="J6" s="15" t="s">
        <v>85</v>
      </c>
      <c r="K6" s="15">
        <v>34161</v>
      </c>
      <c r="L6" s="21">
        <v>45814</v>
      </c>
    </row>
    <row r="7" spans="1:13" x14ac:dyDescent="0.25">
      <c r="A7" s="21">
        <v>45800</v>
      </c>
      <c r="B7" s="15" t="s">
        <v>229</v>
      </c>
      <c r="C7" s="15" t="s">
        <v>224</v>
      </c>
      <c r="D7" s="21">
        <v>45798</v>
      </c>
      <c r="E7" s="15" t="s">
        <v>84</v>
      </c>
      <c r="F7" s="22">
        <v>95</v>
      </c>
      <c r="G7" s="22">
        <f t="shared" si="0"/>
        <v>19</v>
      </c>
      <c r="H7" s="22">
        <f t="shared" si="1"/>
        <v>114</v>
      </c>
      <c r="I7" s="15">
        <v>7800</v>
      </c>
      <c r="J7" s="15" t="s">
        <v>85</v>
      </c>
      <c r="K7" s="15">
        <v>33678</v>
      </c>
      <c r="L7" s="21">
        <v>45814</v>
      </c>
    </row>
    <row r="8" spans="1:13" x14ac:dyDescent="0.25">
      <c r="A8" s="21">
        <v>45807</v>
      </c>
      <c r="B8" s="15" t="s">
        <v>64</v>
      </c>
      <c r="C8" s="15" t="s">
        <v>224</v>
      </c>
      <c r="D8" s="21">
        <v>45790</v>
      </c>
      <c r="E8" s="15" t="s">
        <v>84</v>
      </c>
      <c r="F8" s="22">
        <v>95</v>
      </c>
      <c r="G8" s="22">
        <f t="shared" si="0"/>
        <v>19</v>
      </c>
      <c r="H8" s="22">
        <f t="shared" si="1"/>
        <v>114</v>
      </c>
      <c r="I8" s="15">
        <v>7800</v>
      </c>
      <c r="J8" s="15" t="s">
        <v>85</v>
      </c>
      <c r="K8" s="15">
        <v>34024</v>
      </c>
      <c r="L8" s="21" t="s">
        <v>230</v>
      </c>
    </row>
    <row r="9" spans="1:13" x14ac:dyDescent="0.25">
      <c r="A9" s="21">
        <v>45800</v>
      </c>
      <c r="B9" s="15" t="s">
        <v>76</v>
      </c>
      <c r="C9" s="15" t="s">
        <v>224</v>
      </c>
      <c r="D9" s="21">
        <v>45785</v>
      </c>
      <c r="E9" s="15" t="s">
        <v>84</v>
      </c>
      <c r="F9" s="22">
        <v>95</v>
      </c>
      <c r="G9" s="22">
        <f t="shared" si="0"/>
        <v>19</v>
      </c>
      <c r="H9" s="22">
        <f t="shared" si="1"/>
        <v>114</v>
      </c>
      <c r="I9" s="15">
        <v>7800</v>
      </c>
      <c r="J9" s="15" t="s">
        <v>85</v>
      </c>
      <c r="K9" s="15">
        <v>33619</v>
      </c>
      <c r="L9" s="21">
        <v>45814</v>
      </c>
    </row>
    <row r="10" spans="1:13" x14ac:dyDescent="0.25">
      <c r="A10" s="21">
        <v>45800</v>
      </c>
      <c r="B10" s="15" t="s">
        <v>231</v>
      </c>
      <c r="C10" s="15" t="s">
        <v>224</v>
      </c>
      <c r="D10" s="21">
        <v>45784</v>
      </c>
      <c r="E10" s="15" t="s">
        <v>84</v>
      </c>
      <c r="F10" s="22">
        <v>95</v>
      </c>
      <c r="G10" s="22">
        <f t="shared" si="0"/>
        <v>19</v>
      </c>
      <c r="H10" s="22">
        <f t="shared" si="1"/>
        <v>114</v>
      </c>
      <c r="I10" s="15">
        <v>7800</v>
      </c>
      <c r="J10" s="15" t="s">
        <v>85</v>
      </c>
      <c r="K10" s="15">
        <v>33614</v>
      </c>
      <c r="L10" s="21">
        <v>45814</v>
      </c>
    </row>
    <row r="11" spans="1:13" x14ac:dyDescent="0.25">
      <c r="A11" s="21">
        <v>45789</v>
      </c>
      <c r="B11" s="15" t="s">
        <v>51</v>
      </c>
      <c r="C11" s="15" t="s">
        <v>224</v>
      </c>
      <c r="D11" s="21">
        <v>45744</v>
      </c>
      <c r="E11" s="15" t="s">
        <v>84</v>
      </c>
      <c r="F11" s="22">
        <v>95</v>
      </c>
      <c r="G11" s="22">
        <f t="shared" si="0"/>
        <v>19</v>
      </c>
      <c r="H11" s="22">
        <f t="shared" si="1"/>
        <v>114</v>
      </c>
      <c r="I11" s="15">
        <v>7800</v>
      </c>
      <c r="J11" s="15" t="s">
        <v>85</v>
      </c>
      <c r="K11" s="15">
        <v>33090</v>
      </c>
      <c r="L11" s="21">
        <v>45814</v>
      </c>
    </row>
    <row r="12" spans="1:13" x14ac:dyDescent="0.25">
      <c r="A12" s="21">
        <v>45789</v>
      </c>
      <c r="B12" s="15" t="s">
        <v>74</v>
      </c>
      <c r="C12" s="15" t="s">
        <v>224</v>
      </c>
      <c r="D12" s="21">
        <v>45742</v>
      </c>
      <c r="E12" s="15" t="s">
        <v>84</v>
      </c>
      <c r="F12" s="22">
        <v>95</v>
      </c>
      <c r="G12" s="22">
        <f t="shared" si="0"/>
        <v>19</v>
      </c>
      <c r="H12" s="22">
        <f t="shared" si="1"/>
        <v>114</v>
      </c>
      <c r="I12" s="15">
        <v>7800</v>
      </c>
      <c r="J12" s="15" t="s">
        <v>85</v>
      </c>
      <c r="K12" s="15">
        <v>33087</v>
      </c>
      <c r="L12" s="21">
        <v>45814</v>
      </c>
    </row>
    <row r="13" spans="1:13" x14ac:dyDescent="0.25">
      <c r="A13" s="21">
        <v>45792</v>
      </c>
      <c r="B13" s="15" t="s">
        <v>30</v>
      </c>
      <c r="C13" s="15" t="s">
        <v>224</v>
      </c>
      <c r="D13" s="21">
        <v>45755</v>
      </c>
      <c r="E13" s="15" t="s">
        <v>84</v>
      </c>
      <c r="F13" s="22">
        <v>95</v>
      </c>
      <c r="G13" s="22">
        <f t="shared" si="0"/>
        <v>19</v>
      </c>
      <c r="H13" s="22">
        <f t="shared" si="1"/>
        <v>114</v>
      </c>
      <c r="I13" s="15">
        <v>7800</v>
      </c>
      <c r="J13" s="15" t="s">
        <v>85</v>
      </c>
      <c r="K13" s="15">
        <v>33229</v>
      </c>
      <c r="L13" s="21">
        <v>45814</v>
      </c>
    </row>
    <row r="14" spans="1:13" x14ac:dyDescent="0.25">
      <c r="A14" s="21">
        <v>45792</v>
      </c>
      <c r="B14" s="15" t="s">
        <v>79</v>
      </c>
      <c r="C14" s="15" t="s">
        <v>224</v>
      </c>
      <c r="D14" s="21">
        <v>45757</v>
      </c>
      <c r="E14" s="15" t="s">
        <v>84</v>
      </c>
      <c r="F14" s="22">
        <v>95</v>
      </c>
      <c r="G14" s="22">
        <f t="shared" si="0"/>
        <v>19</v>
      </c>
      <c r="H14" s="22">
        <f t="shared" si="1"/>
        <v>114</v>
      </c>
      <c r="I14" s="15">
        <v>7800</v>
      </c>
      <c r="J14" s="15" t="s">
        <v>85</v>
      </c>
      <c r="K14" s="15">
        <v>33242</v>
      </c>
      <c r="L14" s="21">
        <v>45814</v>
      </c>
    </row>
    <row r="15" spans="1:13" x14ac:dyDescent="0.25">
      <c r="A15" s="21">
        <v>45793</v>
      </c>
      <c r="B15" s="15" t="s">
        <v>14</v>
      </c>
      <c r="C15" s="15" t="s">
        <v>227</v>
      </c>
      <c r="D15" s="21">
        <v>45786</v>
      </c>
      <c r="E15" s="15" t="s">
        <v>84</v>
      </c>
      <c r="F15" s="22">
        <v>95</v>
      </c>
      <c r="G15" s="22">
        <f t="shared" si="0"/>
        <v>19</v>
      </c>
      <c r="H15" s="22">
        <f t="shared" si="1"/>
        <v>114</v>
      </c>
      <c r="I15" s="15">
        <v>7800</v>
      </c>
      <c r="J15" s="15" t="s">
        <v>85</v>
      </c>
      <c r="K15" s="15">
        <v>33293</v>
      </c>
      <c r="L15" s="21">
        <v>45814</v>
      </c>
    </row>
    <row r="16" spans="1:13" x14ac:dyDescent="0.25">
      <c r="A16" s="21">
        <v>45793</v>
      </c>
      <c r="B16" s="15" t="s">
        <v>232</v>
      </c>
      <c r="C16" s="15" t="s">
        <v>83</v>
      </c>
      <c r="D16" s="21">
        <v>45785</v>
      </c>
      <c r="E16" s="15" t="s">
        <v>84</v>
      </c>
      <c r="F16" s="22">
        <v>95</v>
      </c>
      <c r="G16" s="22">
        <f t="shared" si="0"/>
        <v>19</v>
      </c>
      <c r="H16" s="22">
        <f t="shared" si="1"/>
        <v>114</v>
      </c>
      <c r="I16" s="15">
        <v>7800</v>
      </c>
      <c r="J16" s="15" t="s">
        <v>85</v>
      </c>
      <c r="K16" s="15">
        <v>33302</v>
      </c>
      <c r="L16" s="21">
        <v>45814</v>
      </c>
    </row>
    <row r="17" spans="1:12" x14ac:dyDescent="0.25">
      <c r="A17" s="21">
        <v>45793</v>
      </c>
      <c r="B17" s="15" t="s">
        <v>81</v>
      </c>
      <c r="C17" s="15" t="s">
        <v>224</v>
      </c>
      <c r="D17" s="21">
        <v>45789</v>
      </c>
      <c r="E17" s="15" t="s">
        <v>84</v>
      </c>
      <c r="F17" s="22">
        <v>95</v>
      </c>
      <c r="G17" s="22">
        <f t="shared" si="0"/>
        <v>19</v>
      </c>
      <c r="H17" s="22">
        <f t="shared" si="1"/>
        <v>114</v>
      </c>
      <c r="I17" s="15">
        <v>7800</v>
      </c>
      <c r="J17" s="15" t="s">
        <v>85</v>
      </c>
      <c r="K17" s="15">
        <v>33287</v>
      </c>
      <c r="L17" s="21">
        <v>45814</v>
      </c>
    </row>
    <row r="18" spans="1:12" x14ac:dyDescent="0.25">
      <c r="A18" s="21">
        <v>45806</v>
      </c>
      <c r="B18" s="15" t="s">
        <v>78</v>
      </c>
      <c r="C18" s="15" t="s">
        <v>83</v>
      </c>
      <c r="D18" s="21">
        <v>45805</v>
      </c>
      <c r="E18" s="15" t="s">
        <v>84</v>
      </c>
      <c r="F18" s="22">
        <v>95</v>
      </c>
      <c r="G18" s="22">
        <f t="shared" ref="G18:G81" si="2">F18/100*20</f>
        <v>19</v>
      </c>
      <c r="H18" s="22">
        <f t="shared" ref="H18:H81" si="3">SUM(F18:G18)</f>
        <v>114</v>
      </c>
      <c r="I18" s="15">
        <v>7800</v>
      </c>
      <c r="J18" s="15" t="s">
        <v>85</v>
      </c>
      <c r="K18" s="15">
        <v>33987</v>
      </c>
      <c r="L18" s="21">
        <v>45854</v>
      </c>
    </row>
    <row r="19" spans="1:12" x14ac:dyDescent="0.25">
      <c r="A19" s="21">
        <v>45825</v>
      </c>
      <c r="B19" s="15" t="s">
        <v>306</v>
      </c>
      <c r="C19" s="15" t="s">
        <v>83</v>
      </c>
      <c r="D19" s="21">
        <v>45821</v>
      </c>
      <c r="E19" s="15" t="s">
        <v>84</v>
      </c>
      <c r="F19" s="22">
        <v>95</v>
      </c>
      <c r="G19" s="22">
        <f t="shared" si="2"/>
        <v>19</v>
      </c>
      <c r="H19" s="22">
        <f t="shared" si="3"/>
        <v>114</v>
      </c>
      <c r="I19" s="15">
        <v>7800</v>
      </c>
      <c r="J19" s="15" t="s">
        <v>85</v>
      </c>
      <c r="K19" s="15">
        <v>34639</v>
      </c>
      <c r="L19" s="21">
        <v>45854</v>
      </c>
    </row>
    <row r="20" spans="1:12" x14ac:dyDescent="0.25">
      <c r="A20" s="21">
        <v>45929</v>
      </c>
      <c r="B20" s="15" t="s">
        <v>523</v>
      </c>
      <c r="C20" s="15" t="s">
        <v>83</v>
      </c>
      <c r="D20" s="21">
        <v>45911</v>
      </c>
      <c r="E20" s="15" t="s">
        <v>84</v>
      </c>
      <c r="F20" s="22">
        <v>95</v>
      </c>
      <c r="G20" s="22">
        <f t="shared" si="2"/>
        <v>19</v>
      </c>
      <c r="H20" s="22">
        <f t="shared" si="3"/>
        <v>114</v>
      </c>
      <c r="I20" s="15">
        <v>7800</v>
      </c>
      <c r="J20" s="15" t="s">
        <v>85</v>
      </c>
      <c r="K20" s="15">
        <v>39029</v>
      </c>
      <c r="L20" s="21">
        <v>45980</v>
      </c>
    </row>
    <row r="21" spans="1:12" x14ac:dyDescent="0.25">
      <c r="A21" s="21">
        <v>45929</v>
      </c>
      <c r="B21" s="15" t="s">
        <v>528</v>
      </c>
      <c r="C21" s="15" t="s">
        <v>83</v>
      </c>
      <c r="D21" s="21">
        <v>45909</v>
      </c>
      <c r="E21" s="15" t="s">
        <v>84</v>
      </c>
      <c r="F21" s="22">
        <v>95</v>
      </c>
      <c r="G21" s="22">
        <f t="shared" si="2"/>
        <v>19</v>
      </c>
      <c r="H21" s="22">
        <f t="shared" si="3"/>
        <v>114</v>
      </c>
      <c r="I21" s="15">
        <v>7800</v>
      </c>
      <c r="J21" s="15" t="s">
        <v>85</v>
      </c>
      <c r="K21" s="15">
        <v>39025</v>
      </c>
      <c r="L21" s="21">
        <v>45973</v>
      </c>
    </row>
    <row r="22" spans="1:12" x14ac:dyDescent="0.25">
      <c r="A22" s="21">
        <v>45926</v>
      </c>
      <c r="B22" s="15" t="s">
        <v>30</v>
      </c>
      <c r="C22" s="15" t="s">
        <v>83</v>
      </c>
      <c r="D22" s="21">
        <v>45924</v>
      </c>
      <c r="E22" s="15" t="s">
        <v>84</v>
      </c>
      <c r="F22" s="22">
        <v>325</v>
      </c>
      <c r="G22" s="22">
        <f t="shared" si="2"/>
        <v>65</v>
      </c>
      <c r="H22" s="22">
        <f t="shared" si="3"/>
        <v>390</v>
      </c>
      <c r="I22" s="15">
        <v>7800</v>
      </c>
      <c r="J22" s="15" t="s">
        <v>85</v>
      </c>
      <c r="K22" s="15">
        <v>38867</v>
      </c>
      <c r="L22" s="21">
        <v>45973</v>
      </c>
    </row>
    <row r="23" spans="1:12" x14ac:dyDescent="0.25">
      <c r="A23" s="21">
        <v>45988</v>
      </c>
      <c r="B23" s="15" t="s">
        <v>54</v>
      </c>
      <c r="C23" s="15" t="s">
        <v>227</v>
      </c>
      <c r="D23" s="21">
        <v>45953</v>
      </c>
      <c r="E23" s="15" t="s">
        <v>84</v>
      </c>
      <c r="F23" s="22">
        <v>95</v>
      </c>
      <c r="G23" s="22">
        <f t="shared" si="2"/>
        <v>19</v>
      </c>
      <c r="H23" s="22">
        <f t="shared" si="3"/>
        <v>114</v>
      </c>
      <c r="I23" s="15">
        <v>7800</v>
      </c>
      <c r="J23" s="15" t="s">
        <v>85</v>
      </c>
      <c r="K23" s="15">
        <v>41712</v>
      </c>
      <c r="L23" s="21">
        <v>45992</v>
      </c>
    </row>
    <row r="24" spans="1:12" x14ac:dyDescent="0.25">
      <c r="A24" s="21">
        <v>45988</v>
      </c>
      <c r="B24" s="15" t="s">
        <v>529</v>
      </c>
      <c r="C24" s="15" t="s">
        <v>227</v>
      </c>
      <c r="D24" s="21">
        <v>45979</v>
      </c>
      <c r="E24" s="15" t="s">
        <v>84</v>
      </c>
      <c r="F24" s="22">
        <v>95</v>
      </c>
      <c r="G24" s="22">
        <f t="shared" si="2"/>
        <v>19</v>
      </c>
      <c r="H24" s="22">
        <f t="shared" si="3"/>
        <v>114</v>
      </c>
      <c r="I24" s="15">
        <v>7800</v>
      </c>
      <c r="J24" s="15" t="s">
        <v>85</v>
      </c>
      <c r="K24" s="15">
        <v>41740</v>
      </c>
      <c r="L24" s="21">
        <v>45992</v>
      </c>
    </row>
    <row r="25" spans="1:12" x14ac:dyDescent="0.25">
      <c r="A25" s="21">
        <v>45996</v>
      </c>
      <c r="B25" s="15" t="s">
        <v>60</v>
      </c>
      <c r="C25" s="15" t="s">
        <v>555</v>
      </c>
      <c r="D25" s="21">
        <v>45954</v>
      </c>
      <c r="E25" s="15" t="s">
        <v>84</v>
      </c>
      <c r="F25" s="22">
        <v>325</v>
      </c>
      <c r="G25" s="22">
        <f t="shared" si="2"/>
        <v>65</v>
      </c>
      <c r="H25" s="22">
        <f t="shared" si="3"/>
        <v>390</v>
      </c>
      <c r="I25" s="15">
        <v>7800</v>
      </c>
      <c r="J25" s="15" t="s">
        <v>85</v>
      </c>
      <c r="K25" s="15">
        <v>42039</v>
      </c>
      <c r="L25" s="21">
        <v>46000</v>
      </c>
    </row>
    <row r="26" spans="1:12" x14ac:dyDescent="0.25">
      <c r="E26" s="15" t="s">
        <v>84</v>
      </c>
      <c r="G26" s="22">
        <f t="shared" si="2"/>
        <v>0</v>
      </c>
      <c r="H26" s="22">
        <f t="shared" si="3"/>
        <v>0</v>
      </c>
      <c r="I26" s="15">
        <v>7800</v>
      </c>
      <c r="J26" s="15" t="s">
        <v>85</v>
      </c>
    </row>
    <row r="27" spans="1:12" x14ac:dyDescent="0.25">
      <c r="E27" s="15" t="s">
        <v>84</v>
      </c>
      <c r="G27" s="22">
        <f t="shared" si="2"/>
        <v>0</v>
      </c>
      <c r="H27" s="22">
        <f t="shared" si="3"/>
        <v>0</v>
      </c>
      <c r="I27" s="15">
        <v>7800</v>
      </c>
      <c r="J27" s="15" t="s">
        <v>85</v>
      </c>
    </row>
    <row r="28" spans="1:12" x14ac:dyDescent="0.25">
      <c r="E28" s="15" t="s">
        <v>84</v>
      </c>
      <c r="G28" s="22">
        <f t="shared" si="2"/>
        <v>0</v>
      </c>
      <c r="H28" s="22">
        <f t="shared" si="3"/>
        <v>0</v>
      </c>
      <c r="I28" s="15">
        <v>7800</v>
      </c>
      <c r="J28" s="15" t="s">
        <v>85</v>
      </c>
    </row>
    <row r="29" spans="1:12" x14ac:dyDescent="0.25">
      <c r="E29" s="15" t="s">
        <v>84</v>
      </c>
      <c r="G29" s="22">
        <f t="shared" si="2"/>
        <v>0</v>
      </c>
      <c r="H29" s="22">
        <f t="shared" si="3"/>
        <v>0</v>
      </c>
      <c r="I29" s="15">
        <v>7800</v>
      </c>
      <c r="J29" s="15" t="s">
        <v>85</v>
      </c>
    </row>
    <row r="30" spans="1:12" x14ac:dyDescent="0.25">
      <c r="E30" s="15" t="s">
        <v>84</v>
      </c>
      <c r="G30" s="22">
        <f t="shared" si="2"/>
        <v>0</v>
      </c>
      <c r="H30" s="22">
        <f t="shared" si="3"/>
        <v>0</v>
      </c>
      <c r="I30" s="15">
        <v>7800</v>
      </c>
      <c r="J30" s="15" t="s">
        <v>85</v>
      </c>
    </row>
    <row r="31" spans="1:12" x14ac:dyDescent="0.25">
      <c r="E31" s="15" t="s">
        <v>84</v>
      </c>
      <c r="G31" s="22">
        <f t="shared" si="2"/>
        <v>0</v>
      </c>
      <c r="H31" s="22">
        <f t="shared" si="3"/>
        <v>0</v>
      </c>
      <c r="I31" s="15">
        <v>7800</v>
      </c>
      <c r="J31" s="15" t="s">
        <v>85</v>
      </c>
    </row>
    <row r="32" spans="1:12" x14ac:dyDescent="0.25">
      <c r="E32" s="15" t="s">
        <v>84</v>
      </c>
      <c r="G32" s="22">
        <f t="shared" si="2"/>
        <v>0</v>
      </c>
      <c r="H32" s="22">
        <f t="shared" si="3"/>
        <v>0</v>
      </c>
      <c r="I32" s="15">
        <v>7800</v>
      </c>
      <c r="J32" s="15" t="s">
        <v>85</v>
      </c>
    </row>
    <row r="33" spans="5:10" x14ac:dyDescent="0.25">
      <c r="E33" s="15" t="s">
        <v>84</v>
      </c>
      <c r="G33" s="22">
        <f t="shared" si="2"/>
        <v>0</v>
      </c>
      <c r="H33" s="22">
        <f t="shared" si="3"/>
        <v>0</v>
      </c>
      <c r="I33" s="15">
        <v>7800</v>
      </c>
      <c r="J33" s="15" t="s">
        <v>85</v>
      </c>
    </row>
    <row r="34" spans="5:10" x14ac:dyDescent="0.25">
      <c r="E34" s="15" t="s">
        <v>84</v>
      </c>
      <c r="G34" s="22">
        <f t="shared" si="2"/>
        <v>0</v>
      </c>
      <c r="H34" s="22">
        <f t="shared" si="3"/>
        <v>0</v>
      </c>
      <c r="I34" s="15">
        <v>7800</v>
      </c>
      <c r="J34" s="15" t="s">
        <v>85</v>
      </c>
    </row>
    <row r="35" spans="5:10" x14ac:dyDescent="0.25">
      <c r="E35" s="15" t="s">
        <v>84</v>
      </c>
      <c r="G35" s="22">
        <f t="shared" si="2"/>
        <v>0</v>
      </c>
      <c r="H35" s="22">
        <f t="shared" si="3"/>
        <v>0</v>
      </c>
      <c r="I35" s="15">
        <v>7800</v>
      </c>
      <c r="J35" s="15" t="s">
        <v>85</v>
      </c>
    </row>
    <row r="36" spans="5:10" x14ac:dyDescent="0.25">
      <c r="E36" s="15" t="s">
        <v>84</v>
      </c>
      <c r="G36" s="22">
        <f t="shared" si="2"/>
        <v>0</v>
      </c>
      <c r="H36" s="22">
        <f t="shared" si="3"/>
        <v>0</v>
      </c>
      <c r="I36" s="15">
        <v>7800</v>
      </c>
      <c r="J36" s="15" t="s">
        <v>85</v>
      </c>
    </row>
    <row r="37" spans="5:10" x14ac:dyDescent="0.25">
      <c r="E37" s="15" t="s">
        <v>84</v>
      </c>
      <c r="G37" s="22">
        <f t="shared" si="2"/>
        <v>0</v>
      </c>
      <c r="H37" s="22">
        <f t="shared" si="3"/>
        <v>0</v>
      </c>
      <c r="I37" s="15">
        <v>7800</v>
      </c>
      <c r="J37" s="15" t="s">
        <v>85</v>
      </c>
    </row>
    <row r="38" spans="5:10" x14ac:dyDescent="0.25">
      <c r="E38" s="15" t="s">
        <v>84</v>
      </c>
      <c r="G38" s="22">
        <f t="shared" si="2"/>
        <v>0</v>
      </c>
      <c r="H38" s="22">
        <f t="shared" si="3"/>
        <v>0</v>
      </c>
      <c r="I38" s="15">
        <v>7800</v>
      </c>
      <c r="J38" s="15" t="s">
        <v>85</v>
      </c>
    </row>
    <row r="39" spans="5:10" x14ac:dyDescent="0.25">
      <c r="E39" s="15" t="s">
        <v>84</v>
      </c>
      <c r="G39" s="22">
        <f t="shared" si="2"/>
        <v>0</v>
      </c>
      <c r="H39" s="22">
        <f t="shared" si="3"/>
        <v>0</v>
      </c>
      <c r="I39" s="15">
        <v>7800</v>
      </c>
      <c r="J39" s="15" t="s">
        <v>85</v>
      </c>
    </row>
    <row r="40" spans="5:10" x14ac:dyDescent="0.25">
      <c r="E40" s="15" t="s">
        <v>84</v>
      </c>
      <c r="G40" s="22">
        <f t="shared" si="2"/>
        <v>0</v>
      </c>
      <c r="H40" s="22">
        <f t="shared" si="3"/>
        <v>0</v>
      </c>
      <c r="I40" s="15">
        <v>7800</v>
      </c>
      <c r="J40" s="15" t="s">
        <v>85</v>
      </c>
    </row>
    <row r="41" spans="5:10" x14ac:dyDescent="0.25">
      <c r="G41" s="22">
        <f t="shared" si="2"/>
        <v>0</v>
      </c>
      <c r="H41" s="22">
        <f t="shared" si="3"/>
        <v>0</v>
      </c>
      <c r="I41" s="15">
        <v>7800</v>
      </c>
      <c r="J41" s="15" t="s">
        <v>85</v>
      </c>
    </row>
    <row r="42" spans="5:10" x14ac:dyDescent="0.25">
      <c r="G42" s="22">
        <f t="shared" si="2"/>
        <v>0</v>
      </c>
      <c r="H42" s="22">
        <f t="shared" si="3"/>
        <v>0</v>
      </c>
      <c r="I42" s="15">
        <v>7800</v>
      </c>
      <c r="J42" s="15" t="s">
        <v>85</v>
      </c>
    </row>
    <row r="43" spans="5:10" x14ac:dyDescent="0.25">
      <c r="G43" s="22">
        <f t="shared" si="2"/>
        <v>0</v>
      </c>
      <c r="H43" s="22">
        <f t="shared" si="3"/>
        <v>0</v>
      </c>
      <c r="I43" s="15">
        <v>7800</v>
      </c>
      <c r="J43" s="15" t="s">
        <v>85</v>
      </c>
    </row>
    <row r="44" spans="5:10" x14ac:dyDescent="0.25">
      <c r="G44" s="22">
        <f t="shared" si="2"/>
        <v>0</v>
      </c>
      <c r="H44" s="22">
        <f t="shared" si="3"/>
        <v>0</v>
      </c>
      <c r="I44" s="15">
        <v>7800</v>
      </c>
      <c r="J44" s="15" t="s">
        <v>85</v>
      </c>
    </row>
    <row r="45" spans="5:10" x14ac:dyDescent="0.25">
      <c r="G45" s="22">
        <f t="shared" si="2"/>
        <v>0</v>
      </c>
      <c r="H45" s="22">
        <f t="shared" si="3"/>
        <v>0</v>
      </c>
      <c r="I45" s="15">
        <v>7800</v>
      </c>
      <c r="J45" s="15" t="s">
        <v>85</v>
      </c>
    </row>
    <row r="46" spans="5:10" x14ac:dyDescent="0.25">
      <c r="G46" s="22">
        <f t="shared" si="2"/>
        <v>0</v>
      </c>
      <c r="H46" s="22">
        <f t="shared" si="3"/>
        <v>0</v>
      </c>
      <c r="I46" s="15">
        <v>7800</v>
      </c>
      <c r="J46" s="15" t="s">
        <v>85</v>
      </c>
    </row>
    <row r="47" spans="5:10" x14ac:dyDescent="0.25">
      <c r="G47" s="22">
        <f t="shared" si="2"/>
        <v>0</v>
      </c>
      <c r="H47" s="22">
        <f t="shared" si="3"/>
        <v>0</v>
      </c>
      <c r="I47" s="15">
        <v>7800</v>
      </c>
      <c r="J47" s="15" t="s">
        <v>85</v>
      </c>
    </row>
    <row r="48" spans="5:10" x14ac:dyDescent="0.25">
      <c r="G48" s="22">
        <f t="shared" si="2"/>
        <v>0</v>
      </c>
      <c r="H48" s="22">
        <f t="shared" si="3"/>
        <v>0</v>
      </c>
      <c r="I48" s="15">
        <v>7800</v>
      </c>
      <c r="J48" s="15" t="s">
        <v>85</v>
      </c>
    </row>
    <row r="49" spans="7:10" x14ac:dyDescent="0.25">
      <c r="G49" s="22">
        <f t="shared" si="2"/>
        <v>0</v>
      </c>
      <c r="H49" s="22">
        <f t="shared" si="3"/>
        <v>0</v>
      </c>
      <c r="I49" s="15">
        <v>7800</v>
      </c>
      <c r="J49" s="15" t="s">
        <v>85</v>
      </c>
    </row>
    <row r="50" spans="7:10" x14ac:dyDescent="0.25">
      <c r="G50" s="22">
        <f t="shared" si="2"/>
        <v>0</v>
      </c>
      <c r="H50" s="22">
        <f t="shared" si="3"/>
        <v>0</v>
      </c>
      <c r="I50" s="15">
        <v>7800</v>
      </c>
      <c r="J50" s="15" t="s">
        <v>85</v>
      </c>
    </row>
    <row r="51" spans="7:10" x14ac:dyDescent="0.25">
      <c r="G51" s="22">
        <f t="shared" si="2"/>
        <v>0</v>
      </c>
      <c r="H51" s="22">
        <f t="shared" si="3"/>
        <v>0</v>
      </c>
      <c r="I51" s="15">
        <v>7800</v>
      </c>
      <c r="J51" s="15" t="s">
        <v>85</v>
      </c>
    </row>
    <row r="52" spans="7:10" x14ac:dyDescent="0.25">
      <c r="G52" s="22">
        <f t="shared" si="2"/>
        <v>0</v>
      </c>
      <c r="H52" s="22">
        <f t="shared" si="3"/>
        <v>0</v>
      </c>
      <c r="I52" s="15">
        <v>7800</v>
      </c>
      <c r="J52" s="15" t="s">
        <v>85</v>
      </c>
    </row>
    <row r="53" spans="7:10" x14ac:dyDescent="0.25">
      <c r="G53" s="22">
        <f t="shared" si="2"/>
        <v>0</v>
      </c>
      <c r="H53" s="22">
        <f t="shared" si="3"/>
        <v>0</v>
      </c>
      <c r="I53" s="15">
        <v>7800</v>
      </c>
      <c r="J53" s="15" t="s">
        <v>85</v>
      </c>
    </row>
    <row r="54" spans="7:10" x14ac:dyDescent="0.25">
      <c r="G54" s="22">
        <f t="shared" si="2"/>
        <v>0</v>
      </c>
      <c r="H54" s="22">
        <f t="shared" si="3"/>
        <v>0</v>
      </c>
      <c r="I54" s="15">
        <v>7800</v>
      </c>
      <c r="J54" s="15" t="s">
        <v>85</v>
      </c>
    </row>
    <row r="55" spans="7:10" x14ac:dyDescent="0.25">
      <c r="G55" s="22">
        <f t="shared" si="2"/>
        <v>0</v>
      </c>
      <c r="H55" s="22">
        <f t="shared" si="3"/>
        <v>0</v>
      </c>
      <c r="I55" s="15">
        <v>7800</v>
      </c>
      <c r="J55" s="15" t="s">
        <v>85</v>
      </c>
    </row>
    <row r="56" spans="7:10" x14ac:dyDescent="0.25">
      <c r="G56" s="22">
        <f t="shared" si="2"/>
        <v>0</v>
      </c>
      <c r="H56" s="22">
        <f t="shared" si="3"/>
        <v>0</v>
      </c>
      <c r="I56" s="15">
        <v>7800</v>
      </c>
      <c r="J56" s="15" t="s">
        <v>85</v>
      </c>
    </row>
    <row r="57" spans="7:10" x14ac:dyDescent="0.25">
      <c r="G57" s="22">
        <f t="shared" si="2"/>
        <v>0</v>
      </c>
      <c r="H57" s="22">
        <f t="shared" si="3"/>
        <v>0</v>
      </c>
      <c r="I57" s="15">
        <v>7800</v>
      </c>
      <c r="J57" s="15" t="s">
        <v>85</v>
      </c>
    </row>
    <row r="58" spans="7:10" x14ac:dyDescent="0.25">
      <c r="G58" s="22">
        <f t="shared" si="2"/>
        <v>0</v>
      </c>
      <c r="H58" s="22">
        <f t="shared" si="3"/>
        <v>0</v>
      </c>
      <c r="I58" s="15">
        <v>7800</v>
      </c>
      <c r="J58" s="15" t="s">
        <v>85</v>
      </c>
    </row>
    <row r="59" spans="7:10" x14ac:dyDescent="0.25">
      <c r="G59" s="22">
        <f t="shared" si="2"/>
        <v>0</v>
      </c>
      <c r="H59" s="22">
        <f t="shared" si="3"/>
        <v>0</v>
      </c>
      <c r="I59" s="15">
        <v>7800</v>
      </c>
      <c r="J59" s="15" t="s">
        <v>85</v>
      </c>
    </row>
    <row r="60" spans="7:10" x14ac:dyDescent="0.25">
      <c r="G60" s="22">
        <f t="shared" si="2"/>
        <v>0</v>
      </c>
      <c r="H60" s="22">
        <f t="shared" si="3"/>
        <v>0</v>
      </c>
      <c r="I60" s="15">
        <v>7800</v>
      </c>
      <c r="J60" s="15" t="s">
        <v>85</v>
      </c>
    </row>
    <row r="61" spans="7:10" x14ac:dyDescent="0.25">
      <c r="G61" s="22">
        <f t="shared" si="2"/>
        <v>0</v>
      </c>
      <c r="H61" s="22">
        <f t="shared" si="3"/>
        <v>0</v>
      </c>
      <c r="I61" s="15">
        <v>7800</v>
      </c>
      <c r="J61" s="15" t="s">
        <v>85</v>
      </c>
    </row>
    <row r="62" spans="7:10" x14ac:dyDescent="0.25">
      <c r="G62" s="22">
        <f t="shared" si="2"/>
        <v>0</v>
      </c>
      <c r="H62" s="22">
        <f t="shared" si="3"/>
        <v>0</v>
      </c>
      <c r="I62" s="15">
        <v>7800</v>
      </c>
      <c r="J62" s="15" t="s">
        <v>85</v>
      </c>
    </row>
    <row r="63" spans="7:10" x14ac:dyDescent="0.25">
      <c r="G63" s="22">
        <f t="shared" si="2"/>
        <v>0</v>
      </c>
      <c r="H63" s="22">
        <f t="shared" si="3"/>
        <v>0</v>
      </c>
    </row>
    <row r="64" spans="7:10" x14ac:dyDescent="0.25">
      <c r="G64" s="22">
        <f t="shared" si="2"/>
        <v>0</v>
      </c>
      <c r="H64" s="22">
        <f t="shared" si="3"/>
        <v>0</v>
      </c>
    </row>
    <row r="65" spans="7:8" x14ac:dyDescent="0.25">
      <c r="G65" s="22">
        <f t="shared" si="2"/>
        <v>0</v>
      </c>
      <c r="H65" s="22">
        <f t="shared" si="3"/>
        <v>0</v>
      </c>
    </row>
    <row r="66" spans="7:8" x14ac:dyDescent="0.25">
      <c r="G66" s="22">
        <f t="shared" si="2"/>
        <v>0</v>
      </c>
      <c r="H66" s="22">
        <f t="shared" si="3"/>
        <v>0</v>
      </c>
    </row>
    <row r="67" spans="7:8" x14ac:dyDescent="0.25">
      <c r="G67" s="22">
        <f t="shared" si="2"/>
        <v>0</v>
      </c>
      <c r="H67" s="22">
        <f t="shared" si="3"/>
        <v>0</v>
      </c>
    </row>
    <row r="68" spans="7:8" x14ac:dyDescent="0.25">
      <c r="G68" s="22">
        <f t="shared" si="2"/>
        <v>0</v>
      </c>
      <c r="H68" s="22">
        <f t="shared" si="3"/>
        <v>0</v>
      </c>
    </row>
    <row r="69" spans="7:8" x14ac:dyDescent="0.25">
      <c r="G69" s="22">
        <f t="shared" si="2"/>
        <v>0</v>
      </c>
      <c r="H69" s="22">
        <f t="shared" si="3"/>
        <v>0</v>
      </c>
    </row>
    <row r="70" spans="7:8" x14ac:dyDescent="0.25">
      <c r="G70" s="22">
        <f t="shared" si="2"/>
        <v>0</v>
      </c>
      <c r="H70" s="22">
        <f t="shared" si="3"/>
        <v>0</v>
      </c>
    </row>
    <row r="71" spans="7:8" x14ac:dyDescent="0.25">
      <c r="G71" s="22">
        <f t="shared" si="2"/>
        <v>0</v>
      </c>
      <c r="H71" s="22">
        <f t="shared" si="3"/>
        <v>0</v>
      </c>
    </row>
    <row r="72" spans="7:8" x14ac:dyDescent="0.25">
      <c r="G72" s="22">
        <f t="shared" si="2"/>
        <v>0</v>
      </c>
      <c r="H72" s="22">
        <f t="shared" si="3"/>
        <v>0</v>
      </c>
    </row>
    <row r="73" spans="7:8" x14ac:dyDescent="0.25">
      <c r="G73" s="22">
        <f t="shared" si="2"/>
        <v>0</v>
      </c>
      <c r="H73" s="22">
        <f t="shared" si="3"/>
        <v>0</v>
      </c>
    </row>
    <row r="74" spans="7:8" x14ac:dyDescent="0.25">
      <c r="G74" s="22">
        <f t="shared" si="2"/>
        <v>0</v>
      </c>
      <c r="H74" s="22">
        <f t="shared" si="3"/>
        <v>0</v>
      </c>
    </row>
    <row r="75" spans="7:8" x14ac:dyDescent="0.25">
      <c r="G75" s="22">
        <f t="shared" si="2"/>
        <v>0</v>
      </c>
      <c r="H75" s="22">
        <f t="shared" si="3"/>
        <v>0</v>
      </c>
    </row>
    <row r="76" spans="7:8" x14ac:dyDescent="0.25">
      <c r="G76" s="22">
        <f t="shared" si="2"/>
        <v>0</v>
      </c>
      <c r="H76" s="22">
        <f t="shared" si="3"/>
        <v>0</v>
      </c>
    </row>
    <row r="77" spans="7:8" x14ac:dyDescent="0.25">
      <c r="G77" s="22">
        <f t="shared" si="2"/>
        <v>0</v>
      </c>
      <c r="H77" s="22">
        <f t="shared" si="3"/>
        <v>0</v>
      </c>
    </row>
    <row r="78" spans="7:8" x14ac:dyDescent="0.25">
      <c r="G78" s="22">
        <f t="shared" si="2"/>
        <v>0</v>
      </c>
      <c r="H78" s="22">
        <f t="shared" si="3"/>
        <v>0</v>
      </c>
    </row>
    <row r="79" spans="7:8" x14ac:dyDescent="0.25">
      <c r="G79" s="22">
        <f t="shared" si="2"/>
        <v>0</v>
      </c>
      <c r="H79" s="22">
        <f t="shared" si="3"/>
        <v>0</v>
      </c>
    </row>
    <row r="80" spans="7:8" x14ac:dyDescent="0.25">
      <c r="G80" s="22">
        <f t="shared" si="2"/>
        <v>0</v>
      </c>
      <c r="H80" s="22">
        <f t="shared" si="3"/>
        <v>0</v>
      </c>
    </row>
    <row r="81" spans="7:8" x14ac:dyDescent="0.25">
      <c r="G81" s="22">
        <f t="shared" si="2"/>
        <v>0</v>
      </c>
      <c r="H81" s="22">
        <f t="shared" si="3"/>
        <v>0</v>
      </c>
    </row>
    <row r="82" spans="7:8" x14ac:dyDescent="0.25">
      <c r="G82" s="22">
        <f t="shared" ref="G82:G145" si="4">F82/100*20</f>
        <v>0</v>
      </c>
      <c r="H82" s="22">
        <f t="shared" ref="H82:H145" si="5">SUM(F82:G82)</f>
        <v>0</v>
      </c>
    </row>
    <row r="83" spans="7:8" x14ac:dyDescent="0.25">
      <c r="G83" s="22">
        <f t="shared" si="4"/>
        <v>0</v>
      </c>
      <c r="H83" s="22">
        <f t="shared" si="5"/>
        <v>0</v>
      </c>
    </row>
    <row r="84" spans="7:8" x14ac:dyDescent="0.25">
      <c r="G84" s="22">
        <f t="shared" si="4"/>
        <v>0</v>
      </c>
      <c r="H84" s="22">
        <f t="shared" si="5"/>
        <v>0</v>
      </c>
    </row>
    <row r="85" spans="7:8" x14ac:dyDescent="0.25">
      <c r="G85" s="22">
        <f t="shared" si="4"/>
        <v>0</v>
      </c>
      <c r="H85" s="22">
        <f t="shared" si="5"/>
        <v>0</v>
      </c>
    </row>
    <row r="86" spans="7:8" x14ac:dyDescent="0.25">
      <c r="G86" s="22">
        <f t="shared" si="4"/>
        <v>0</v>
      </c>
      <c r="H86" s="22">
        <f t="shared" si="5"/>
        <v>0</v>
      </c>
    </row>
    <row r="87" spans="7:8" x14ac:dyDescent="0.25">
      <c r="G87" s="22">
        <f t="shared" si="4"/>
        <v>0</v>
      </c>
      <c r="H87" s="22">
        <f t="shared" si="5"/>
        <v>0</v>
      </c>
    </row>
    <row r="88" spans="7:8" x14ac:dyDescent="0.25">
      <c r="G88" s="22">
        <f t="shared" si="4"/>
        <v>0</v>
      </c>
      <c r="H88" s="22">
        <f t="shared" si="5"/>
        <v>0</v>
      </c>
    </row>
    <row r="89" spans="7:8" x14ac:dyDescent="0.25">
      <c r="G89" s="22">
        <f t="shared" si="4"/>
        <v>0</v>
      </c>
      <c r="H89" s="22">
        <f t="shared" si="5"/>
        <v>0</v>
      </c>
    </row>
    <row r="90" spans="7:8" x14ac:dyDescent="0.25">
      <c r="G90" s="22">
        <f t="shared" si="4"/>
        <v>0</v>
      </c>
      <c r="H90" s="22">
        <f t="shared" si="5"/>
        <v>0</v>
      </c>
    </row>
    <row r="91" spans="7:8" x14ac:dyDescent="0.25">
      <c r="G91" s="22">
        <f t="shared" si="4"/>
        <v>0</v>
      </c>
      <c r="H91" s="22">
        <f t="shared" si="5"/>
        <v>0</v>
      </c>
    </row>
    <row r="92" spans="7:8" x14ac:dyDescent="0.25">
      <c r="G92" s="22">
        <f t="shared" si="4"/>
        <v>0</v>
      </c>
      <c r="H92" s="22">
        <f t="shared" si="5"/>
        <v>0</v>
      </c>
    </row>
    <row r="93" spans="7:8" x14ac:dyDescent="0.25">
      <c r="G93" s="22">
        <f t="shared" si="4"/>
        <v>0</v>
      </c>
      <c r="H93" s="22">
        <f t="shared" si="5"/>
        <v>0</v>
      </c>
    </row>
    <row r="94" spans="7:8" x14ac:dyDescent="0.25">
      <c r="G94" s="22">
        <f t="shared" si="4"/>
        <v>0</v>
      </c>
      <c r="H94" s="22">
        <f t="shared" si="5"/>
        <v>0</v>
      </c>
    </row>
    <row r="95" spans="7:8" x14ac:dyDescent="0.25">
      <c r="G95" s="22">
        <f t="shared" si="4"/>
        <v>0</v>
      </c>
      <c r="H95" s="22">
        <f t="shared" si="5"/>
        <v>0</v>
      </c>
    </row>
    <row r="96" spans="7:8" x14ac:dyDescent="0.25">
      <c r="G96" s="22">
        <f t="shared" si="4"/>
        <v>0</v>
      </c>
      <c r="H96" s="22">
        <f t="shared" si="5"/>
        <v>0</v>
      </c>
    </row>
    <row r="97" spans="7:8" x14ac:dyDescent="0.25">
      <c r="G97" s="22">
        <f t="shared" si="4"/>
        <v>0</v>
      </c>
      <c r="H97" s="22">
        <f t="shared" si="5"/>
        <v>0</v>
      </c>
    </row>
    <row r="98" spans="7:8" x14ac:dyDescent="0.25">
      <c r="G98" s="22">
        <f t="shared" si="4"/>
        <v>0</v>
      </c>
      <c r="H98" s="22">
        <f t="shared" si="5"/>
        <v>0</v>
      </c>
    </row>
    <row r="99" spans="7:8" x14ac:dyDescent="0.25">
      <c r="G99" s="22">
        <f t="shared" si="4"/>
        <v>0</v>
      </c>
      <c r="H99" s="22">
        <f t="shared" si="5"/>
        <v>0</v>
      </c>
    </row>
    <row r="100" spans="7:8" x14ac:dyDescent="0.25">
      <c r="G100" s="22">
        <f t="shared" si="4"/>
        <v>0</v>
      </c>
      <c r="H100" s="22">
        <f t="shared" si="5"/>
        <v>0</v>
      </c>
    </row>
    <row r="101" spans="7:8" x14ac:dyDescent="0.25">
      <c r="G101" s="22">
        <f t="shared" si="4"/>
        <v>0</v>
      </c>
      <c r="H101" s="22">
        <f t="shared" si="5"/>
        <v>0</v>
      </c>
    </row>
    <row r="102" spans="7:8" x14ac:dyDescent="0.25">
      <c r="G102" s="22">
        <f t="shared" si="4"/>
        <v>0</v>
      </c>
      <c r="H102" s="22">
        <f t="shared" si="5"/>
        <v>0</v>
      </c>
    </row>
    <row r="103" spans="7:8" x14ac:dyDescent="0.25">
      <c r="G103" s="22">
        <f t="shared" si="4"/>
        <v>0</v>
      </c>
      <c r="H103" s="22">
        <f t="shared" si="5"/>
        <v>0</v>
      </c>
    </row>
    <row r="104" spans="7:8" x14ac:dyDescent="0.25">
      <c r="G104" s="22">
        <f t="shared" si="4"/>
        <v>0</v>
      </c>
      <c r="H104" s="22">
        <f t="shared" si="5"/>
        <v>0</v>
      </c>
    </row>
    <row r="105" spans="7:8" x14ac:dyDescent="0.25">
      <c r="G105" s="22">
        <f t="shared" si="4"/>
        <v>0</v>
      </c>
      <c r="H105" s="22">
        <f t="shared" si="5"/>
        <v>0</v>
      </c>
    </row>
    <row r="106" spans="7:8" x14ac:dyDescent="0.25">
      <c r="G106" s="22">
        <f t="shared" si="4"/>
        <v>0</v>
      </c>
      <c r="H106" s="22">
        <f t="shared" si="5"/>
        <v>0</v>
      </c>
    </row>
    <row r="107" spans="7:8" x14ac:dyDescent="0.25">
      <c r="G107" s="22">
        <f t="shared" si="4"/>
        <v>0</v>
      </c>
      <c r="H107" s="22">
        <f t="shared" si="5"/>
        <v>0</v>
      </c>
    </row>
    <row r="108" spans="7:8" x14ac:dyDescent="0.25">
      <c r="G108" s="22">
        <f t="shared" si="4"/>
        <v>0</v>
      </c>
      <c r="H108" s="22">
        <f t="shared" si="5"/>
        <v>0</v>
      </c>
    </row>
    <row r="109" spans="7:8" x14ac:dyDescent="0.25">
      <c r="G109" s="22">
        <f t="shared" si="4"/>
        <v>0</v>
      </c>
      <c r="H109" s="22">
        <f t="shared" si="5"/>
        <v>0</v>
      </c>
    </row>
    <row r="110" spans="7:8" x14ac:dyDescent="0.25">
      <c r="G110" s="22">
        <f t="shared" si="4"/>
        <v>0</v>
      </c>
      <c r="H110" s="22">
        <f t="shared" si="5"/>
        <v>0</v>
      </c>
    </row>
    <row r="111" spans="7:8" x14ac:dyDescent="0.25">
      <c r="G111" s="22">
        <f t="shared" si="4"/>
        <v>0</v>
      </c>
      <c r="H111" s="22">
        <f t="shared" si="5"/>
        <v>0</v>
      </c>
    </row>
    <row r="112" spans="7:8" x14ac:dyDescent="0.25">
      <c r="G112" s="22">
        <f t="shared" si="4"/>
        <v>0</v>
      </c>
      <c r="H112" s="22">
        <f t="shared" si="5"/>
        <v>0</v>
      </c>
    </row>
    <row r="113" spans="7:8" x14ac:dyDescent="0.25">
      <c r="G113" s="22">
        <f t="shared" si="4"/>
        <v>0</v>
      </c>
      <c r="H113" s="22">
        <f t="shared" si="5"/>
        <v>0</v>
      </c>
    </row>
    <row r="114" spans="7:8" x14ac:dyDescent="0.25">
      <c r="G114" s="22">
        <f t="shared" si="4"/>
        <v>0</v>
      </c>
      <c r="H114" s="22">
        <f t="shared" si="5"/>
        <v>0</v>
      </c>
    </row>
    <row r="115" spans="7:8" x14ac:dyDescent="0.25">
      <c r="G115" s="22">
        <f t="shared" si="4"/>
        <v>0</v>
      </c>
      <c r="H115" s="22">
        <f t="shared" si="5"/>
        <v>0</v>
      </c>
    </row>
    <row r="116" spans="7:8" x14ac:dyDescent="0.25">
      <c r="G116" s="22">
        <f t="shared" si="4"/>
        <v>0</v>
      </c>
      <c r="H116" s="22">
        <f t="shared" si="5"/>
        <v>0</v>
      </c>
    </row>
    <row r="117" spans="7:8" x14ac:dyDescent="0.25">
      <c r="G117" s="22">
        <f t="shared" si="4"/>
        <v>0</v>
      </c>
      <c r="H117" s="22">
        <f t="shared" si="5"/>
        <v>0</v>
      </c>
    </row>
    <row r="118" spans="7:8" x14ac:dyDescent="0.25">
      <c r="G118" s="22">
        <f t="shared" si="4"/>
        <v>0</v>
      </c>
      <c r="H118" s="22">
        <f t="shared" si="5"/>
        <v>0</v>
      </c>
    </row>
    <row r="119" spans="7:8" x14ac:dyDescent="0.25">
      <c r="G119" s="22">
        <f t="shared" si="4"/>
        <v>0</v>
      </c>
      <c r="H119" s="22">
        <f t="shared" si="5"/>
        <v>0</v>
      </c>
    </row>
    <row r="120" spans="7:8" x14ac:dyDescent="0.25">
      <c r="G120" s="22">
        <f t="shared" si="4"/>
        <v>0</v>
      </c>
      <c r="H120" s="22">
        <f t="shared" si="5"/>
        <v>0</v>
      </c>
    </row>
    <row r="121" spans="7:8" x14ac:dyDescent="0.25">
      <c r="G121" s="22">
        <f t="shared" si="4"/>
        <v>0</v>
      </c>
      <c r="H121" s="22">
        <f t="shared" si="5"/>
        <v>0</v>
      </c>
    </row>
    <row r="122" spans="7:8" x14ac:dyDescent="0.25">
      <c r="G122" s="22">
        <f t="shared" si="4"/>
        <v>0</v>
      </c>
      <c r="H122" s="22">
        <f t="shared" si="5"/>
        <v>0</v>
      </c>
    </row>
    <row r="123" spans="7:8" x14ac:dyDescent="0.25">
      <c r="G123" s="22">
        <f t="shared" si="4"/>
        <v>0</v>
      </c>
      <c r="H123" s="22">
        <f t="shared" si="5"/>
        <v>0</v>
      </c>
    </row>
    <row r="124" spans="7:8" x14ac:dyDescent="0.25">
      <c r="G124" s="22">
        <f t="shared" si="4"/>
        <v>0</v>
      </c>
      <c r="H124" s="22">
        <f t="shared" si="5"/>
        <v>0</v>
      </c>
    </row>
    <row r="125" spans="7:8" x14ac:dyDescent="0.25">
      <c r="G125" s="22">
        <f t="shared" si="4"/>
        <v>0</v>
      </c>
      <c r="H125" s="22">
        <f t="shared" si="5"/>
        <v>0</v>
      </c>
    </row>
    <row r="126" spans="7:8" x14ac:dyDescent="0.25">
      <c r="G126" s="22">
        <f t="shared" si="4"/>
        <v>0</v>
      </c>
      <c r="H126" s="22">
        <f t="shared" si="5"/>
        <v>0</v>
      </c>
    </row>
    <row r="127" spans="7:8" x14ac:dyDescent="0.25">
      <c r="G127" s="22">
        <f t="shared" si="4"/>
        <v>0</v>
      </c>
      <c r="H127" s="22">
        <f t="shared" si="5"/>
        <v>0</v>
      </c>
    </row>
    <row r="128" spans="7:8" x14ac:dyDescent="0.25">
      <c r="G128" s="22">
        <f t="shared" si="4"/>
        <v>0</v>
      </c>
      <c r="H128" s="22">
        <f t="shared" si="5"/>
        <v>0</v>
      </c>
    </row>
    <row r="129" spans="7:8" x14ac:dyDescent="0.25">
      <c r="G129" s="22">
        <f t="shared" si="4"/>
        <v>0</v>
      </c>
      <c r="H129" s="22">
        <f t="shared" si="5"/>
        <v>0</v>
      </c>
    </row>
    <row r="130" spans="7:8" x14ac:dyDescent="0.25">
      <c r="G130" s="22">
        <f t="shared" si="4"/>
        <v>0</v>
      </c>
      <c r="H130" s="22">
        <f t="shared" si="5"/>
        <v>0</v>
      </c>
    </row>
    <row r="131" spans="7:8" x14ac:dyDescent="0.25">
      <c r="G131" s="22">
        <f t="shared" si="4"/>
        <v>0</v>
      </c>
      <c r="H131" s="22">
        <f t="shared" si="5"/>
        <v>0</v>
      </c>
    </row>
    <row r="132" spans="7:8" x14ac:dyDescent="0.25">
      <c r="G132" s="22">
        <f t="shared" si="4"/>
        <v>0</v>
      </c>
      <c r="H132" s="22">
        <f t="shared" si="5"/>
        <v>0</v>
      </c>
    </row>
    <row r="133" spans="7:8" x14ac:dyDescent="0.25">
      <c r="G133" s="22">
        <f t="shared" si="4"/>
        <v>0</v>
      </c>
      <c r="H133" s="22">
        <f t="shared" si="5"/>
        <v>0</v>
      </c>
    </row>
    <row r="134" spans="7:8" x14ac:dyDescent="0.25">
      <c r="G134" s="22">
        <f t="shared" si="4"/>
        <v>0</v>
      </c>
      <c r="H134" s="22">
        <f t="shared" si="5"/>
        <v>0</v>
      </c>
    </row>
    <row r="135" spans="7:8" x14ac:dyDescent="0.25">
      <c r="G135" s="22">
        <f t="shared" si="4"/>
        <v>0</v>
      </c>
      <c r="H135" s="22">
        <f t="shared" si="5"/>
        <v>0</v>
      </c>
    </row>
    <row r="136" spans="7:8" x14ac:dyDescent="0.25">
      <c r="G136" s="22">
        <f t="shared" si="4"/>
        <v>0</v>
      </c>
      <c r="H136" s="22">
        <f t="shared" si="5"/>
        <v>0</v>
      </c>
    </row>
    <row r="137" spans="7:8" x14ac:dyDescent="0.25">
      <c r="G137" s="22">
        <f t="shared" si="4"/>
        <v>0</v>
      </c>
      <c r="H137" s="22">
        <f t="shared" si="5"/>
        <v>0</v>
      </c>
    </row>
    <row r="138" spans="7:8" x14ac:dyDescent="0.25">
      <c r="G138" s="22">
        <f t="shared" si="4"/>
        <v>0</v>
      </c>
      <c r="H138" s="22">
        <f t="shared" si="5"/>
        <v>0</v>
      </c>
    </row>
    <row r="139" spans="7:8" x14ac:dyDescent="0.25">
      <c r="G139" s="22">
        <f t="shared" si="4"/>
        <v>0</v>
      </c>
      <c r="H139" s="22">
        <f t="shared" si="5"/>
        <v>0</v>
      </c>
    </row>
    <row r="140" spans="7:8" x14ac:dyDescent="0.25">
      <c r="G140" s="22">
        <f t="shared" si="4"/>
        <v>0</v>
      </c>
      <c r="H140" s="22">
        <f t="shared" si="5"/>
        <v>0</v>
      </c>
    </row>
    <row r="141" spans="7:8" x14ac:dyDescent="0.25">
      <c r="G141" s="22">
        <f t="shared" si="4"/>
        <v>0</v>
      </c>
      <c r="H141" s="22">
        <f t="shared" si="5"/>
        <v>0</v>
      </c>
    </row>
    <row r="142" spans="7:8" x14ac:dyDescent="0.25">
      <c r="G142" s="22">
        <f t="shared" si="4"/>
        <v>0</v>
      </c>
      <c r="H142" s="22">
        <f t="shared" si="5"/>
        <v>0</v>
      </c>
    </row>
    <row r="143" spans="7:8" x14ac:dyDescent="0.25">
      <c r="G143" s="22">
        <f t="shared" si="4"/>
        <v>0</v>
      </c>
      <c r="H143" s="22">
        <f t="shared" si="5"/>
        <v>0</v>
      </c>
    </row>
    <row r="144" spans="7:8" x14ac:dyDescent="0.25">
      <c r="G144" s="22">
        <f t="shared" si="4"/>
        <v>0</v>
      </c>
      <c r="H144" s="22">
        <f t="shared" si="5"/>
        <v>0</v>
      </c>
    </row>
    <row r="145" spans="7:8" x14ac:dyDescent="0.25">
      <c r="G145" s="22">
        <f t="shared" si="4"/>
        <v>0</v>
      </c>
      <c r="H145" s="22">
        <f t="shared" si="5"/>
        <v>0</v>
      </c>
    </row>
    <row r="146" spans="7:8" x14ac:dyDescent="0.25">
      <c r="G146" s="22">
        <f t="shared" ref="G146:G209" si="6">F146/100*20</f>
        <v>0</v>
      </c>
      <c r="H146" s="22">
        <f t="shared" ref="H146:H209" si="7">SUM(F146:G146)</f>
        <v>0</v>
      </c>
    </row>
    <row r="147" spans="7:8" x14ac:dyDescent="0.25">
      <c r="G147" s="22">
        <f t="shared" si="6"/>
        <v>0</v>
      </c>
      <c r="H147" s="22">
        <f t="shared" si="7"/>
        <v>0</v>
      </c>
    </row>
    <row r="148" spans="7:8" x14ac:dyDescent="0.25">
      <c r="G148" s="22">
        <f t="shared" si="6"/>
        <v>0</v>
      </c>
      <c r="H148" s="22">
        <f t="shared" si="7"/>
        <v>0</v>
      </c>
    </row>
    <row r="149" spans="7:8" x14ac:dyDescent="0.25">
      <c r="G149" s="22">
        <f t="shared" si="6"/>
        <v>0</v>
      </c>
      <c r="H149" s="22">
        <f t="shared" si="7"/>
        <v>0</v>
      </c>
    </row>
    <row r="150" spans="7:8" x14ac:dyDescent="0.25">
      <c r="G150" s="22">
        <f t="shared" si="6"/>
        <v>0</v>
      </c>
      <c r="H150" s="22">
        <f t="shared" si="7"/>
        <v>0</v>
      </c>
    </row>
    <row r="151" spans="7:8" x14ac:dyDescent="0.25">
      <c r="G151" s="22">
        <f t="shared" si="6"/>
        <v>0</v>
      </c>
      <c r="H151" s="22">
        <f t="shared" si="7"/>
        <v>0</v>
      </c>
    </row>
    <row r="152" spans="7:8" x14ac:dyDescent="0.25">
      <c r="G152" s="22">
        <f t="shared" si="6"/>
        <v>0</v>
      </c>
      <c r="H152" s="22">
        <f t="shared" si="7"/>
        <v>0</v>
      </c>
    </row>
    <row r="153" spans="7:8" x14ac:dyDescent="0.25">
      <c r="G153" s="22">
        <f t="shared" si="6"/>
        <v>0</v>
      </c>
      <c r="H153" s="22">
        <f t="shared" si="7"/>
        <v>0</v>
      </c>
    </row>
    <row r="154" spans="7:8" x14ac:dyDescent="0.25">
      <c r="G154" s="22">
        <f t="shared" si="6"/>
        <v>0</v>
      </c>
      <c r="H154" s="22">
        <f t="shared" si="7"/>
        <v>0</v>
      </c>
    </row>
    <row r="155" spans="7:8" x14ac:dyDescent="0.25">
      <c r="G155" s="22">
        <f t="shared" si="6"/>
        <v>0</v>
      </c>
      <c r="H155" s="22">
        <f t="shared" si="7"/>
        <v>0</v>
      </c>
    </row>
    <row r="156" spans="7:8" x14ac:dyDescent="0.25">
      <c r="G156" s="22">
        <f t="shared" si="6"/>
        <v>0</v>
      </c>
      <c r="H156" s="22">
        <f t="shared" si="7"/>
        <v>0</v>
      </c>
    </row>
    <row r="157" spans="7:8" x14ac:dyDescent="0.25">
      <c r="G157" s="22">
        <f t="shared" si="6"/>
        <v>0</v>
      </c>
      <c r="H157" s="22">
        <f t="shared" si="7"/>
        <v>0</v>
      </c>
    </row>
    <row r="158" spans="7:8" x14ac:dyDescent="0.25">
      <c r="G158" s="22">
        <f t="shared" si="6"/>
        <v>0</v>
      </c>
      <c r="H158" s="22">
        <f t="shared" si="7"/>
        <v>0</v>
      </c>
    </row>
    <row r="159" spans="7:8" x14ac:dyDescent="0.25">
      <c r="G159" s="22">
        <f t="shared" si="6"/>
        <v>0</v>
      </c>
      <c r="H159" s="22">
        <f t="shared" si="7"/>
        <v>0</v>
      </c>
    </row>
    <row r="160" spans="7:8" x14ac:dyDescent="0.25">
      <c r="G160" s="22">
        <f t="shared" si="6"/>
        <v>0</v>
      </c>
      <c r="H160" s="22">
        <f t="shared" si="7"/>
        <v>0</v>
      </c>
    </row>
    <row r="161" spans="7:8" x14ac:dyDescent="0.25">
      <c r="G161" s="22">
        <f t="shared" si="6"/>
        <v>0</v>
      </c>
      <c r="H161" s="22">
        <f t="shared" si="7"/>
        <v>0</v>
      </c>
    </row>
    <row r="162" spans="7:8" x14ac:dyDescent="0.25">
      <c r="G162" s="22">
        <f t="shared" si="6"/>
        <v>0</v>
      </c>
      <c r="H162" s="22">
        <f t="shared" si="7"/>
        <v>0</v>
      </c>
    </row>
    <row r="163" spans="7:8" x14ac:dyDescent="0.25">
      <c r="G163" s="22">
        <f t="shared" si="6"/>
        <v>0</v>
      </c>
      <c r="H163" s="22">
        <f t="shared" si="7"/>
        <v>0</v>
      </c>
    </row>
    <row r="164" spans="7:8" x14ac:dyDescent="0.25">
      <c r="G164" s="22">
        <f t="shared" si="6"/>
        <v>0</v>
      </c>
      <c r="H164" s="22">
        <f t="shared" si="7"/>
        <v>0</v>
      </c>
    </row>
    <row r="165" spans="7:8" x14ac:dyDescent="0.25">
      <c r="G165" s="22">
        <f t="shared" si="6"/>
        <v>0</v>
      </c>
      <c r="H165" s="22">
        <f t="shared" si="7"/>
        <v>0</v>
      </c>
    </row>
    <row r="166" spans="7:8" x14ac:dyDescent="0.25">
      <c r="G166" s="22">
        <f t="shared" si="6"/>
        <v>0</v>
      </c>
      <c r="H166" s="22">
        <f t="shared" si="7"/>
        <v>0</v>
      </c>
    </row>
    <row r="167" spans="7:8" x14ac:dyDescent="0.25">
      <c r="G167" s="22">
        <f t="shared" si="6"/>
        <v>0</v>
      </c>
      <c r="H167" s="22">
        <f t="shared" si="7"/>
        <v>0</v>
      </c>
    </row>
    <row r="168" spans="7:8" x14ac:dyDescent="0.25">
      <c r="G168" s="22">
        <f t="shared" si="6"/>
        <v>0</v>
      </c>
      <c r="H168" s="22">
        <f t="shared" si="7"/>
        <v>0</v>
      </c>
    </row>
    <row r="169" spans="7:8" x14ac:dyDescent="0.25">
      <c r="G169" s="22">
        <f t="shared" si="6"/>
        <v>0</v>
      </c>
      <c r="H169" s="22">
        <f t="shared" si="7"/>
        <v>0</v>
      </c>
    </row>
    <row r="170" spans="7:8" x14ac:dyDescent="0.25">
      <c r="G170" s="22">
        <f t="shared" si="6"/>
        <v>0</v>
      </c>
      <c r="H170" s="22">
        <f t="shared" si="7"/>
        <v>0</v>
      </c>
    </row>
    <row r="171" spans="7:8" x14ac:dyDescent="0.25">
      <c r="G171" s="22">
        <f t="shared" si="6"/>
        <v>0</v>
      </c>
      <c r="H171" s="22">
        <f t="shared" si="7"/>
        <v>0</v>
      </c>
    </row>
    <row r="172" spans="7:8" x14ac:dyDescent="0.25">
      <c r="G172" s="22">
        <f t="shared" si="6"/>
        <v>0</v>
      </c>
      <c r="H172" s="22">
        <f t="shared" si="7"/>
        <v>0</v>
      </c>
    </row>
    <row r="173" spans="7:8" x14ac:dyDescent="0.25">
      <c r="G173" s="22">
        <f t="shared" si="6"/>
        <v>0</v>
      </c>
      <c r="H173" s="22">
        <f t="shared" si="7"/>
        <v>0</v>
      </c>
    </row>
    <row r="174" spans="7:8" x14ac:dyDescent="0.25">
      <c r="G174" s="22">
        <f t="shared" si="6"/>
        <v>0</v>
      </c>
      <c r="H174" s="22">
        <f t="shared" si="7"/>
        <v>0</v>
      </c>
    </row>
    <row r="175" spans="7:8" x14ac:dyDescent="0.25">
      <c r="G175" s="22">
        <f t="shared" si="6"/>
        <v>0</v>
      </c>
      <c r="H175" s="22">
        <f t="shared" si="7"/>
        <v>0</v>
      </c>
    </row>
    <row r="176" spans="7:8" x14ac:dyDescent="0.25">
      <c r="G176" s="22">
        <f t="shared" si="6"/>
        <v>0</v>
      </c>
      <c r="H176" s="22">
        <f t="shared" si="7"/>
        <v>0</v>
      </c>
    </row>
    <row r="177" spans="7:8" x14ac:dyDescent="0.25">
      <c r="G177" s="22">
        <f t="shared" si="6"/>
        <v>0</v>
      </c>
      <c r="H177" s="22">
        <f t="shared" si="7"/>
        <v>0</v>
      </c>
    </row>
    <row r="178" spans="7:8" x14ac:dyDescent="0.25">
      <c r="G178" s="22">
        <f t="shared" si="6"/>
        <v>0</v>
      </c>
      <c r="H178" s="22">
        <f t="shared" si="7"/>
        <v>0</v>
      </c>
    </row>
    <row r="179" spans="7:8" x14ac:dyDescent="0.25">
      <c r="G179" s="22">
        <f t="shared" si="6"/>
        <v>0</v>
      </c>
      <c r="H179" s="22">
        <f t="shared" si="7"/>
        <v>0</v>
      </c>
    </row>
    <row r="180" spans="7:8" x14ac:dyDescent="0.25">
      <c r="G180" s="22">
        <f t="shared" si="6"/>
        <v>0</v>
      </c>
      <c r="H180" s="22">
        <f t="shared" si="7"/>
        <v>0</v>
      </c>
    </row>
    <row r="181" spans="7:8" x14ac:dyDescent="0.25">
      <c r="G181" s="22">
        <f t="shared" si="6"/>
        <v>0</v>
      </c>
      <c r="H181" s="22">
        <f t="shared" si="7"/>
        <v>0</v>
      </c>
    </row>
    <row r="182" spans="7:8" x14ac:dyDescent="0.25">
      <c r="G182" s="22">
        <f t="shared" si="6"/>
        <v>0</v>
      </c>
      <c r="H182" s="22">
        <f t="shared" si="7"/>
        <v>0</v>
      </c>
    </row>
    <row r="183" spans="7:8" x14ac:dyDescent="0.25">
      <c r="G183" s="22">
        <f t="shared" si="6"/>
        <v>0</v>
      </c>
      <c r="H183" s="22">
        <f t="shared" si="7"/>
        <v>0</v>
      </c>
    </row>
    <row r="184" spans="7:8" x14ac:dyDescent="0.25">
      <c r="G184" s="22">
        <f t="shared" si="6"/>
        <v>0</v>
      </c>
      <c r="H184" s="22">
        <f t="shared" si="7"/>
        <v>0</v>
      </c>
    </row>
    <row r="185" spans="7:8" x14ac:dyDescent="0.25">
      <c r="G185" s="22">
        <f t="shared" si="6"/>
        <v>0</v>
      </c>
      <c r="H185" s="22">
        <f t="shared" si="7"/>
        <v>0</v>
      </c>
    </row>
    <row r="186" spans="7:8" x14ac:dyDescent="0.25">
      <c r="G186" s="22">
        <f t="shared" si="6"/>
        <v>0</v>
      </c>
      <c r="H186" s="22">
        <f t="shared" si="7"/>
        <v>0</v>
      </c>
    </row>
    <row r="187" spans="7:8" x14ac:dyDescent="0.25">
      <c r="G187" s="22">
        <f t="shared" si="6"/>
        <v>0</v>
      </c>
      <c r="H187" s="22">
        <f t="shared" si="7"/>
        <v>0</v>
      </c>
    </row>
    <row r="188" spans="7:8" x14ac:dyDescent="0.25">
      <c r="G188" s="22">
        <f t="shared" si="6"/>
        <v>0</v>
      </c>
      <c r="H188" s="22">
        <f t="shared" si="7"/>
        <v>0</v>
      </c>
    </row>
    <row r="189" spans="7:8" x14ac:dyDescent="0.25">
      <c r="G189" s="22">
        <f t="shared" si="6"/>
        <v>0</v>
      </c>
      <c r="H189" s="22">
        <f t="shared" si="7"/>
        <v>0</v>
      </c>
    </row>
    <row r="190" spans="7:8" x14ac:dyDescent="0.25">
      <c r="G190" s="22">
        <f t="shared" si="6"/>
        <v>0</v>
      </c>
      <c r="H190" s="22">
        <f t="shared" si="7"/>
        <v>0</v>
      </c>
    </row>
    <row r="191" spans="7:8" x14ac:dyDescent="0.25">
      <c r="G191" s="22">
        <f t="shared" si="6"/>
        <v>0</v>
      </c>
      <c r="H191" s="22">
        <f t="shared" si="7"/>
        <v>0</v>
      </c>
    </row>
    <row r="192" spans="7:8" x14ac:dyDescent="0.25">
      <c r="G192" s="22">
        <f t="shared" si="6"/>
        <v>0</v>
      </c>
      <c r="H192" s="22">
        <f t="shared" si="7"/>
        <v>0</v>
      </c>
    </row>
    <row r="193" spans="7:8" x14ac:dyDescent="0.25">
      <c r="G193" s="22">
        <f t="shared" si="6"/>
        <v>0</v>
      </c>
      <c r="H193" s="22">
        <f t="shared" si="7"/>
        <v>0</v>
      </c>
    </row>
    <row r="194" spans="7:8" x14ac:dyDescent="0.25">
      <c r="G194" s="22">
        <f t="shared" si="6"/>
        <v>0</v>
      </c>
      <c r="H194" s="22">
        <f t="shared" si="7"/>
        <v>0</v>
      </c>
    </row>
    <row r="195" spans="7:8" x14ac:dyDescent="0.25">
      <c r="G195" s="22">
        <f t="shared" si="6"/>
        <v>0</v>
      </c>
      <c r="H195" s="22">
        <f t="shared" si="7"/>
        <v>0</v>
      </c>
    </row>
    <row r="196" spans="7:8" x14ac:dyDescent="0.25">
      <c r="G196" s="22">
        <f t="shared" si="6"/>
        <v>0</v>
      </c>
      <c r="H196" s="22">
        <f t="shared" si="7"/>
        <v>0</v>
      </c>
    </row>
    <row r="197" spans="7:8" x14ac:dyDescent="0.25">
      <c r="G197" s="22">
        <f t="shared" si="6"/>
        <v>0</v>
      </c>
      <c r="H197" s="22">
        <f t="shared" si="7"/>
        <v>0</v>
      </c>
    </row>
    <row r="198" spans="7:8" x14ac:dyDescent="0.25">
      <c r="G198" s="22">
        <f t="shared" si="6"/>
        <v>0</v>
      </c>
      <c r="H198" s="22">
        <f t="shared" si="7"/>
        <v>0</v>
      </c>
    </row>
    <row r="199" spans="7:8" x14ac:dyDescent="0.25">
      <c r="G199" s="22">
        <f t="shared" si="6"/>
        <v>0</v>
      </c>
      <c r="H199" s="22">
        <f t="shared" si="7"/>
        <v>0</v>
      </c>
    </row>
    <row r="200" spans="7:8" x14ac:dyDescent="0.25">
      <c r="G200" s="22">
        <f t="shared" si="6"/>
        <v>0</v>
      </c>
      <c r="H200" s="22">
        <f t="shared" si="7"/>
        <v>0</v>
      </c>
    </row>
    <row r="201" spans="7:8" x14ac:dyDescent="0.25">
      <c r="G201" s="22">
        <f t="shared" si="6"/>
        <v>0</v>
      </c>
      <c r="H201" s="22">
        <f t="shared" si="7"/>
        <v>0</v>
      </c>
    </row>
    <row r="202" spans="7:8" x14ac:dyDescent="0.25">
      <c r="G202" s="22">
        <f t="shared" si="6"/>
        <v>0</v>
      </c>
      <c r="H202" s="22">
        <f t="shared" si="7"/>
        <v>0</v>
      </c>
    </row>
    <row r="203" spans="7:8" x14ac:dyDescent="0.25">
      <c r="G203" s="22">
        <f t="shared" si="6"/>
        <v>0</v>
      </c>
      <c r="H203" s="22">
        <f t="shared" si="7"/>
        <v>0</v>
      </c>
    </row>
    <row r="204" spans="7:8" x14ac:dyDescent="0.25">
      <c r="G204" s="22">
        <f t="shared" si="6"/>
        <v>0</v>
      </c>
      <c r="H204" s="22">
        <f t="shared" si="7"/>
        <v>0</v>
      </c>
    </row>
    <row r="205" spans="7:8" x14ac:dyDescent="0.25">
      <c r="G205" s="22">
        <f t="shared" si="6"/>
        <v>0</v>
      </c>
      <c r="H205" s="22">
        <f t="shared" si="7"/>
        <v>0</v>
      </c>
    </row>
    <row r="206" spans="7:8" x14ac:dyDescent="0.25">
      <c r="G206" s="22">
        <f t="shared" si="6"/>
        <v>0</v>
      </c>
      <c r="H206" s="22">
        <f t="shared" si="7"/>
        <v>0</v>
      </c>
    </row>
    <row r="207" spans="7:8" x14ac:dyDescent="0.25">
      <c r="G207" s="22">
        <f t="shared" si="6"/>
        <v>0</v>
      </c>
      <c r="H207" s="22">
        <f t="shared" si="7"/>
        <v>0</v>
      </c>
    </row>
    <row r="208" spans="7:8" x14ac:dyDescent="0.25">
      <c r="G208" s="22">
        <f t="shared" si="6"/>
        <v>0</v>
      </c>
      <c r="H208" s="22">
        <f t="shared" si="7"/>
        <v>0</v>
      </c>
    </row>
    <row r="209" spans="7:8" x14ac:dyDescent="0.25">
      <c r="G209" s="22">
        <f t="shared" si="6"/>
        <v>0</v>
      </c>
      <c r="H209" s="22">
        <f t="shared" si="7"/>
        <v>0</v>
      </c>
    </row>
    <row r="210" spans="7:8" x14ac:dyDescent="0.25">
      <c r="G210" s="22">
        <f t="shared" ref="G210:G273" si="8">F210/100*20</f>
        <v>0</v>
      </c>
      <c r="H210" s="22">
        <f t="shared" ref="H210:H273" si="9">SUM(F210:G210)</f>
        <v>0</v>
      </c>
    </row>
    <row r="211" spans="7:8" x14ac:dyDescent="0.25">
      <c r="G211" s="22">
        <f t="shared" si="8"/>
        <v>0</v>
      </c>
      <c r="H211" s="22">
        <f t="shared" si="9"/>
        <v>0</v>
      </c>
    </row>
    <row r="212" spans="7:8" x14ac:dyDescent="0.25">
      <c r="G212" s="22">
        <f t="shared" si="8"/>
        <v>0</v>
      </c>
      <c r="H212" s="22">
        <f t="shared" si="9"/>
        <v>0</v>
      </c>
    </row>
    <row r="213" spans="7:8" x14ac:dyDescent="0.25">
      <c r="G213" s="22">
        <f t="shared" si="8"/>
        <v>0</v>
      </c>
      <c r="H213" s="22">
        <f t="shared" si="9"/>
        <v>0</v>
      </c>
    </row>
    <row r="214" spans="7:8" x14ac:dyDescent="0.25">
      <c r="G214" s="22">
        <f t="shared" si="8"/>
        <v>0</v>
      </c>
      <c r="H214" s="22">
        <f t="shared" si="9"/>
        <v>0</v>
      </c>
    </row>
    <row r="215" spans="7:8" x14ac:dyDescent="0.25">
      <c r="G215" s="22">
        <f t="shared" si="8"/>
        <v>0</v>
      </c>
      <c r="H215" s="22">
        <f t="shared" si="9"/>
        <v>0</v>
      </c>
    </row>
    <row r="216" spans="7:8" x14ac:dyDescent="0.25">
      <c r="G216" s="22">
        <f t="shared" si="8"/>
        <v>0</v>
      </c>
      <c r="H216" s="22">
        <f t="shared" si="9"/>
        <v>0</v>
      </c>
    </row>
    <row r="217" spans="7:8" x14ac:dyDescent="0.25">
      <c r="G217" s="22">
        <f t="shared" si="8"/>
        <v>0</v>
      </c>
      <c r="H217" s="22">
        <f t="shared" si="9"/>
        <v>0</v>
      </c>
    </row>
    <row r="218" spans="7:8" x14ac:dyDescent="0.25">
      <c r="G218" s="22">
        <f t="shared" si="8"/>
        <v>0</v>
      </c>
      <c r="H218" s="22">
        <f t="shared" si="9"/>
        <v>0</v>
      </c>
    </row>
    <row r="219" spans="7:8" x14ac:dyDescent="0.25">
      <c r="G219" s="22">
        <f t="shared" si="8"/>
        <v>0</v>
      </c>
      <c r="H219" s="22">
        <f t="shared" si="9"/>
        <v>0</v>
      </c>
    </row>
    <row r="220" spans="7:8" x14ac:dyDescent="0.25">
      <c r="G220" s="22">
        <f t="shared" si="8"/>
        <v>0</v>
      </c>
      <c r="H220" s="22">
        <f t="shared" si="9"/>
        <v>0</v>
      </c>
    </row>
    <row r="221" spans="7:8" x14ac:dyDescent="0.25">
      <c r="G221" s="22">
        <f t="shared" si="8"/>
        <v>0</v>
      </c>
      <c r="H221" s="22">
        <f t="shared" si="9"/>
        <v>0</v>
      </c>
    </row>
    <row r="222" spans="7:8" x14ac:dyDescent="0.25">
      <c r="G222" s="22">
        <f t="shared" si="8"/>
        <v>0</v>
      </c>
      <c r="H222" s="22">
        <f t="shared" si="9"/>
        <v>0</v>
      </c>
    </row>
    <row r="223" spans="7:8" x14ac:dyDescent="0.25">
      <c r="G223" s="22">
        <f t="shared" si="8"/>
        <v>0</v>
      </c>
      <c r="H223" s="22">
        <f t="shared" si="9"/>
        <v>0</v>
      </c>
    </row>
    <row r="224" spans="7:8" x14ac:dyDescent="0.25">
      <c r="G224" s="22">
        <f t="shared" si="8"/>
        <v>0</v>
      </c>
      <c r="H224" s="22">
        <f t="shared" si="9"/>
        <v>0</v>
      </c>
    </row>
    <row r="225" spans="7:8" x14ac:dyDescent="0.25">
      <c r="G225" s="22">
        <f t="shared" si="8"/>
        <v>0</v>
      </c>
      <c r="H225" s="22">
        <f t="shared" si="9"/>
        <v>0</v>
      </c>
    </row>
    <row r="226" spans="7:8" x14ac:dyDescent="0.25">
      <c r="G226" s="22">
        <f t="shared" si="8"/>
        <v>0</v>
      </c>
      <c r="H226" s="22">
        <f t="shared" si="9"/>
        <v>0</v>
      </c>
    </row>
    <row r="227" spans="7:8" x14ac:dyDescent="0.25">
      <c r="G227" s="22">
        <f t="shared" si="8"/>
        <v>0</v>
      </c>
      <c r="H227" s="22">
        <f t="shared" si="9"/>
        <v>0</v>
      </c>
    </row>
    <row r="228" spans="7:8" x14ac:dyDescent="0.25">
      <c r="G228" s="22">
        <f t="shared" si="8"/>
        <v>0</v>
      </c>
      <c r="H228" s="22">
        <f t="shared" si="9"/>
        <v>0</v>
      </c>
    </row>
    <row r="229" spans="7:8" x14ac:dyDescent="0.25">
      <c r="G229" s="22">
        <f t="shared" si="8"/>
        <v>0</v>
      </c>
      <c r="H229" s="22">
        <f t="shared" si="9"/>
        <v>0</v>
      </c>
    </row>
    <row r="230" spans="7:8" x14ac:dyDescent="0.25">
      <c r="G230" s="22">
        <f t="shared" si="8"/>
        <v>0</v>
      </c>
      <c r="H230" s="22">
        <f t="shared" si="9"/>
        <v>0</v>
      </c>
    </row>
    <row r="231" spans="7:8" x14ac:dyDescent="0.25">
      <c r="G231" s="22">
        <f t="shared" si="8"/>
        <v>0</v>
      </c>
      <c r="H231" s="22">
        <f t="shared" si="9"/>
        <v>0</v>
      </c>
    </row>
    <row r="232" spans="7:8" x14ac:dyDescent="0.25">
      <c r="G232" s="22">
        <f t="shared" si="8"/>
        <v>0</v>
      </c>
      <c r="H232" s="22">
        <f t="shared" si="9"/>
        <v>0</v>
      </c>
    </row>
    <row r="233" spans="7:8" x14ac:dyDescent="0.25">
      <c r="G233" s="22">
        <f t="shared" si="8"/>
        <v>0</v>
      </c>
      <c r="H233" s="22">
        <f t="shared" si="9"/>
        <v>0</v>
      </c>
    </row>
    <row r="234" spans="7:8" x14ac:dyDescent="0.25">
      <c r="G234" s="22">
        <f t="shared" si="8"/>
        <v>0</v>
      </c>
      <c r="H234" s="22">
        <f t="shared" si="9"/>
        <v>0</v>
      </c>
    </row>
    <row r="235" spans="7:8" x14ac:dyDescent="0.25">
      <c r="G235" s="22">
        <f t="shared" si="8"/>
        <v>0</v>
      </c>
      <c r="H235" s="22">
        <f t="shared" si="9"/>
        <v>0</v>
      </c>
    </row>
    <row r="236" spans="7:8" x14ac:dyDescent="0.25">
      <c r="G236" s="22">
        <f t="shared" si="8"/>
        <v>0</v>
      </c>
      <c r="H236" s="22">
        <f t="shared" si="9"/>
        <v>0</v>
      </c>
    </row>
    <row r="237" spans="7:8" x14ac:dyDescent="0.25">
      <c r="G237" s="22">
        <f t="shared" si="8"/>
        <v>0</v>
      </c>
      <c r="H237" s="22">
        <f t="shared" si="9"/>
        <v>0</v>
      </c>
    </row>
    <row r="238" spans="7:8" x14ac:dyDescent="0.25">
      <c r="G238" s="22">
        <f t="shared" si="8"/>
        <v>0</v>
      </c>
      <c r="H238" s="22">
        <f t="shared" si="9"/>
        <v>0</v>
      </c>
    </row>
    <row r="239" spans="7:8" x14ac:dyDescent="0.25">
      <c r="G239" s="22">
        <f t="shared" si="8"/>
        <v>0</v>
      </c>
      <c r="H239" s="22">
        <f t="shared" si="9"/>
        <v>0</v>
      </c>
    </row>
    <row r="240" spans="7:8" x14ac:dyDescent="0.25">
      <c r="G240" s="22">
        <f t="shared" si="8"/>
        <v>0</v>
      </c>
      <c r="H240" s="22">
        <f t="shared" si="9"/>
        <v>0</v>
      </c>
    </row>
    <row r="241" spans="7:8" x14ac:dyDescent="0.25">
      <c r="G241" s="22">
        <f t="shared" si="8"/>
        <v>0</v>
      </c>
      <c r="H241" s="22">
        <f t="shared" si="9"/>
        <v>0</v>
      </c>
    </row>
    <row r="242" spans="7:8" x14ac:dyDescent="0.25">
      <c r="G242" s="22">
        <f t="shared" si="8"/>
        <v>0</v>
      </c>
      <c r="H242" s="22">
        <f t="shared" si="9"/>
        <v>0</v>
      </c>
    </row>
    <row r="243" spans="7:8" x14ac:dyDescent="0.25">
      <c r="G243" s="22">
        <f t="shared" si="8"/>
        <v>0</v>
      </c>
      <c r="H243" s="22">
        <f t="shared" si="9"/>
        <v>0</v>
      </c>
    </row>
    <row r="244" spans="7:8" x14ac:dyDescent="0.25">
      <c r="G244" s="22">
        <f t="shared" si="8"/>
        <v>0</v>
      </c>
      <c r="H244" s="22">
        <f t="shared" si="9"/>
        <v>0</v>
      </c>
    </row>
    <row r="245" spans="7:8" x14ac:dyDescent="0.25">
      <c r="G245" s="22">
        <f t="shared" si="8"/>
        <v>0</v>
      </c>
      <c r="H245" s="22">
        <f t="shared" si="9"/>
        <v>0</v>
      </c>
    </row>
    <row r="246" spans="7:8" x14ac:dyDescent="0.25">
      <c r="G246" s="22">
        <f t="shared" si="8"/>
        <v>0</v>
      </c>
      <c r="H246" s="22">
        <f t="shared" si="9"/>
        <v>0</v>
      </c>
    </row>
    <row r="247" spans="7:8" x14ac:dyDescent="0.25">
      <c r="G247" s="22">
        <f t="shared" si="8"/>
        <v>0</v>
      </c>
      <c r="H247" s="22">
        <f t="shared" si="9"/>
        <v>0</v>
      </c>
    </row>
    <row r="248" spans="7:8" x14ac:dyDescent="0.25">
      <c r="G248" s="22">
        <f t="shared" si="8"/>
        <v>0</v>
      </c>
      <c r="H248" s="22">
        <f t="shared" si="9"/>
        <v>0</v>
      </c>
    </row>
    <row r="249" spans="7:8" x14ac:dyDescent="0.25">
      <c r="G249" s="22">
        <f t="shared" si="8"/>
        <v>0</v>
      </c>
      <c r="H249" s="22">
        <f t="shared" si="9"/>
        <v>0</v>
      </c>
    </row>
    <row r="250" spans="7:8" x14ac:dyDescent="0.25">
      <c r="G250" s="22">
        <f t="shared" si="8"/>
        <v>0</v>
      </c>
      <c r="H250" s="22">
        <f t="shared" si="9"/>
        <v>0</v>
      </c>
    </row>
    <row r="251" spans="7:8" x14ac:dyDescent="0.25">
      <c r="G251" s="22">
        <f t="shared" si="8"/>
        <v>0</v>
      </c>
      <c r="H251" s="22">
        <f t="shared" si="9"/>
        <v>0</v>
      </c>
    </row>
    <row r="252" spans="7:8" x14ac:dyDescent="0.25">
      <c r="G252" s="22">
        <f t="shared" si="8"/>
        <v>0</v>
      </c>
      <c r="H252" s="22">
        <f t="shared" si="9"/>
        <v>0</v>
      </c>
    </row>
    <row r="253" spans="7:8" x14ac:dyDescent="0.25">
      <c r="G253" s="22">
        <f t="shared" si="8"/>
        <v>0</v>
      </c>
      <c r="H253" s="22">
        <f t="shared" si="9"/>
        <v>0</v>
      </c>
    </row>
    <row r="254" spans="7:8" x14ac:dyDescent="0.25">
      <c r="G254" s="22">
        <f t="shared" si="8"/>
        <v>0</v>
      </c>
      <c r="H254" s="22">
        <f t="shared" si="9"/>
        <v>0</v>
      </c>
    </row>
    <row r="255" spans="7:8" x14ac:dyDescent="0.25">
      <c r="G255" s="22">
        <f t="shared" si="8"/>
        <v>0</v>
      </c>
      <c r="H255" s="22">
        <f t="shared" si="9"/>
        <v>0</v>
      </c>
    </row>
    <row r="256" spans="7:8" x14ac:dyDescent="0.25">
      <c r="G256" s="22">
        <f t="shared" si="8"/>
        <v>0</v>
      </c>
      <c r="H256" s="22">
        <f t="shared" si="9"/>
        <v>0</v>
      </c>
    </row>
    <row r="257" spans="7:8" x14ac:dyDescent="0.25">
      <c r="G257" s="22">
        <f t="shared" si="8"/>
        <v>0</v>
      </c>
      <c r="H257" s="22">
        <f t="shared" si="9"/>
        <v>0</v>
      </c>
    </row>
    <row r="258" spans="7:8" x14ac:dyDescent="0.25">
      <c r="G258" s="22">
        <f t="shared" si="8"/>
        <v>0</v>
      </c>
      <c r="H258" s="22">
        <f t="shared" si="9"/>
        <v>0</v>
      </c>
    </row>
    <row r="259" spans="7:8" x14ac:dyDescent="0.25">
      <c r="G259" s="22">
        <f t="shared" si="8"/>
        <v>0</v>
      </c>
      <c r="H259" s="22">
        <f t="shared" si="9"/>
        <v>0</v>
      </c>
    </row>
    <row r="260" spans="7:8" x14ac:dyDescent="0.25">
      <c r="G260" s="22">
        <f t="shared" si="8"/>
        <v>0</v>
      </c>
      <c r="H260" s="22">
        <f t="shared" si="9"/>
        <v>0</v>
      </c>
    </row>
    <row r="261" spans="7:8" x14ac:dyDescent="0.25">
      <c r="G261" s="22">
        <f t="shared" si="8"/>
        <v>0</v>
      </c>
      <c r="H261" s="22">
        <f t="shared" si="9"/>
        <v>0</v>
      </c>
    </row>
    <row r="262" spans="7:8" x14ac:dyDescent="0.25">
      <c r="G262" s="22">
        <f t="shared" si="8"/>
        <v>0</v>
      </c>
      <c r="H262" s="22">
        <f t="shared" si="9"/>
        <v>0</v>
      </c>
    </row>
    <row r="263" spans="7:8" x14ac:dyDescent="0.25">
      <c r="G263" s="22">
        <f t="shared" si="8"/>
        <v>0</v>
      </c>
      <c r="H263" s="22">
        <f t="shared" si="9"/>
        <v>0</v>
      </c>
    </row>
    <row r="264" spans="7:8" x14ac:dyDescent="0.25">
      <c r="G264" s="22">
        <f t="shared" si="8"/>
        <v>0</v>
      </c>
      <c r="H264" s="22">
        <f t="shared" si="9"/>
        <v>0</v>
      </c>
    </row>
    <row r="265" spans="7:8" x14ac:dyDescent="0.25">
      <c r="G265" s="22">
        <f t="shared" si="8"/>
        <v>0</v>
      </c>
      <c r="H265" s="22">
        <f t="shared" si="9"/>
        <v>0</v>
      </c>
    </row>
    <row r="266" spans="7:8" x14ac:dyDescent="0.25">
      <c r="G266" s="22">
        <f t="shared" si="8"/>
        <v>0</v>
      </c>
      <c r="H266" s="22">
        <f t="shared" si="9"/>
        <v>0</v>
      </c>
    </row>
    <row r="267" spans="7:8" x14ac:dyDescent="0.25">
      <c r="G267" s="22">
        <f t="shared" si="8"/>
        <v>0</v>
      </c>
      <c r="H267" s="22">
        <f t="shared" si="9"/>
        <v>0</v>
      </c>
    </row>
    <row r="268" spans="7:8" x14ac:dyDescent="0.25">
      <c r="G268" s="22">
        <f t="shared" si="8"/>
        <v>0</v>
      </c>
      <c r="H268" s="22">
        <f t="shared" si="9"/>
        <v>0</v>
      </c>
    </row>
    <row r="269" spans="7:8" x14ac:dyDescent="0.25">
      <c r="G269" s="22">
        <f t="shared" si="8"/>
        <v>0</v>
      </c>
      <c r="H269" s="22">
        <f t="shared" si="9"/>
        <v>0</v>
      </c>
    </row>
    <row r="270" spans="7:8" x14ac:dyDescent="0.25">
      <c r="G270" s="22">
        <f t="shared" si="8"/>
        <v>0</v>
      </c>
      <c r="H270" s="22">
        <f t="shared" si="9"/>
        <v>0</v>
      </c>
    </row>
    <row r="271" spans="7:8" x14ac:dyDescent="0.25">
      <c r="G271" s="22">
        <f t="shared" si="8"/>
        <v>0</v>
      </c>
      <c r="H271" s="22">
        <f t="shared" si="9"/>
        <v>0</v>
      </c>
    </row>
    <row r="272" spans="7:8" x14ac:dyDescent="0.25">
      <c r="G272" s="22">
        <f t="shared" si="8"/>
        <v>0</v>
      </c>
      <c r="H272" s="22">
        <f t="shared" si="9"/>
        <v>0</v>
      </c>
    </row>
    <row r="273" spans="7:8" x14ac:dyDescent="0.25">
      <c r="G273" s="22">
        <f t="shared" si="8"/>
        <v>0</v>
      </c>
      <c r="H273" s="22">
        <f t="shared" si="9"/>
        <v>0</v>
      </c>
    </row>
    <row r="274" spans="7:8" x14ac:dyDescent="0.25">
      <c r="G274" s="22">
        <f t="shared" ref="G274:G321" si="10">F274/100*20</f>
        <v>0</v>
      </c>
      <c r="H274" s="22">
        <f t="shared" ref="H274:H321" si="11">SUM(F274:G274)</f>
        <v>0</v>
      </c>
    </row>
    <row r="275" spans="7:8" x14ac:dyDescent="0.25">
      <c r="G275" s="22">
        <f t="shared" si="10"/>
        <v>0</v>
      </c>
      <c r="H275" s="22">
        <f t="shared" si="11"/>
        <v>0</v>
      </c>
    </row>
    <row r="276" spans="7:8" x14ac:dyDescent="0.25">
      <c r="G276" s="22">
        <f t="shared" si="10"/>
        <v>0</v>
      </c>
      <c r="H276" s="22">
        <f t="shared" si="11"/>
        <v>0</v>
      </c>
    </row>
    <row r="277" spans="7:8" x14ac:dyDescent="0.25">
      <c r="G277" s="22">
        <f t="shared" si="10"/>
        <v>0</v>
      </c>
      <c r="H277" s="22">
        <f t="shared" si="11"/>
        <v>0</v>
      </c>
    </row>
    <row r="278" spans="7:8" x14ac:dyDescent="0.25">
      <c r="G278" s="22">
        <f t="shared" si="10"/>
        <v>0</v>
      </c>
      <c r="H278" s="22">
        <f t="shared" si="11"/>
        <v>0</v>
      </c>
    </row>
    <row r="279" spans="7:8" x14ac:dyDescent="0.25">
      <c r="G279" s="22">
        <f t="shared" si="10"/>
        <v>0</v>
      </c>
      <c r="H279" s="22">
        <f t="shared" si="11"/>
        <v>0</v>
      </c>
    </row>
    <row r="280" spans="7:8" x14ac:dyDescent="0.25">
      <c r="G280" s="22">
        <f t="shared" si="10"/>
        <v>0</v>
      </c>
      <c r="H280" s="22">
        <f t="shared" si="11"/>
        <v>0</v>
      </c>
    </row>
    <row r="281" spans="7:8" x14ac:dyDescent="0.25">
      <c r="G281" s="22">
        <f t="shared" si="10"/>
        <v>0</v>
      </c>
      <c r="H281" s="22">
        <f t="shared" si="11"/>
        <v>0</v>
      </c>
    </row>
    <row r="282" spans="7:8" x14ac:dyDescent="0.25">
      <c r="G282" s="22">
        <f t="shared" si="10"/>
        <v>0</v>
      </c>
      <c r="H282" s="22">
        <f t="shared" si="11"/>
        <v>0</v>
      </c>
    </row>
    <row r="283" spans="7:8" x14ac:dyDescent="0.25">
      <c r="G283" s="22">
        <f t="shared" si="10"/>
        <v>0</v>
      </c>
      <c r="H283" s="22">
        <f t="shared" si="11"/>
        <v>0</v>
      </c>
    </row>
    <row r="284" spans="7:8" x14ac:dyDescent="0.25">
      <c r="G284" s="22">
        <f t="shared" si="10"/>
        <v>0</v>
      </c>
      <c r="H284" s="22">
        <f t="shared" si="11"/>
        <v>0</v>
      </c>
    </row>
    <row r="285" spans="7:8" x14ac:dyDescent="0.25">
      <c r="G285" s="22">
        <f t="shared" si="10"/>
        <v>0</v>
      </c>
      <c r="H285" s="22">
        <f t="shared" si="11"/>
        <v>0</v>
      </c>
    </row>
    <row r="286" spans="7:8" x14ac:dyDescent="0.25">
      <c r="G286" s="22">
        <f t="shared" si="10"/>
        <v>0</v>
      </c>
      <c r="H286" s="22">
        <f t="shared" si="11"/>
        <v>0</v>
      </c>
    </row>
    <row r="287" spans="7:8" x14ac:dyDescent="0.25">
      <c r="G287" s="22">
        <f t="shared" si="10"/>
        <v>0</v>
      </c>
      <c r="H287" s="22">
        <f t="shared" si="11"/>
        <v>0</v>
      </c>
    </row>
    <row r="288" spans="7:8" x14ac:dyDescent="0.25">
      <c r="G288" s="22">
        <f t="shared" si="10"/>
        <v>0</v>
      </c>
      <c r="H288" s="22">
        <f t="shared" si="11"/>
        <v>0</v>
      </c>
    </row>
    <row r="289" spans="7:8" x14ac:dyDescent="0.25">
      <c r="G289" s="22">
        <f t="shared" si="10"/>
        <v>0</v>
      </c>
      <c r="H289" s="22">
        <f t="shared" si="11"/>
        <v>0</v>
      </c>
    </row>
    <row r="290" spans="7:8" x14ac:dyDescent="0.25">
      <c r="G290" s="22">
        <f t="shared" si="10"/>
        <v>0</v>
      </c>
      <c r="H290" s="22">
        <f t="shared" si="11"/>
        <v>0</v>
      </c>
    </row>
    <row r="291" spans="7:8" x14ac:dyDescent="0.25">
      <c r="G291" s="22">
        <f t="shared" si="10"/>
        <v>0</v>
      </c>
      <c r="H291" s="22">
        <f t="shared" si="11"/>
        <v>0</v>
      </c>
    </row>
    <row r="292" spans="7:8" x14ac:dyDescent="0.25">
      <c r="G292" s="22">
        <f t="shared" si="10"/>
        <v>0</v>
      </c>
      <c r="H292" s="22">
        <f t="shared" si="11"/>
        <v>0</v>
      </c>
    </row>
    <row r="293" spans="7:8" x14ac:dyDescent="0.25">
      <c r="G293" s="22">
        <f t="shared" si="10"/>
        <v>0</v>
      </c>
      <c r="H293" s="22">
        <f t="shared" si="11"/>
        <v>0</v>
      </c>
    </row>
    <row r="294" spans="7:8" x14ac:dyDescent="0.25">
      <c r="G294" s="22">
        <f t="shared" si="10"/>
        <v>0</v>
      </c>
      <c r="H294" s="22">
        <f t="shared" si="11"/>
        <v>0</v>
      </c>
    </row>
    <row r="295" spans="7:8" x14ac:dyDescent="0.25">
      <c r="G295" s="22">
        <f t="shared" si="10"/>
        <v>0</v>
      </c>
      <c r="H295" s="22">
        <f t="shared" si="11"/>
        <v>0</v>
      </c>
    </row>
    <row r="296" spans="7:8" x14ac:dyDescent="0.25">
      <c r="G296" s="22">
        <f t="shared" si="10"/>
        <v>0</v>
      </c>
      <c r="H296" s="22">
        <f t="shared" si="11"/>
        <v>0</v>
      </c>
    </row>
    <row r="297" spans="7:8" x14ac:dyDescent="0.25">
      <c r="G297" s="22">
        <f t="shared" si="10"/>
        <v>0</v>
      </c>
      <c r="H297" s="22">
        <f t="shared" si="11"/>
        <v>0</v>
      </c>
    </row>
    <row r="298" spans="7:8" x14ac:dyDescent="0.25">
      <c r="G298" s="22">
        <f t="shared" si="10"/>
        <v>0</v>
      </c>
      <c r="H298" s="22">
        <f t="shared" si="11"/>
        <v>0</v>
      </c>
    </row>
    <row r="299" spans="7:8" x14ac:dyDescent="0.25">
      <c r="G299" s="22">
        <f t="shared" si="10"/>
        <v>0</v>
      </c>
      <c r="H299" s="22">
        <f t="shared" si="11"/>
        <v>0</v>
      </c>
    </row>
    <row r="300" spans="7:8" x14ac:dyDescent="0.25">
      <c r="G300" s="22">
        <f t="shared" si="10"/>
        <v>0</v>
      </c>
      <c r="H300" s="22">
        <f t="shared" si="11"/>
        <v>0</v>
      </c>
    </row>
    <row r="301" spans="7:8" x14ac:dyDescent="0.25">
      <c r="G301" s="22">
        <f t="shared" si="10"/>
        <v>0</v>
      </c>
      <c r="H301" s="22">
        <f t="shared" si="11"/>
        <v>0</v>
      </c>
    </row>
    <row r="302" spans="7:8" x14ac:dyDescent="0.25">
      <c r="G302" s="22">
        <f t="shared" si="10"/>
        <v>0</v>
      </c>
      <c r="H302" s="22">
        <f t="shared" si="11"/>
        <v>0</v>
      </c>
    </row>
    <row r="303" spans="7:8" x14ac:dyDescent="0.25">
      <c r="G303" s="22">
        <f t="shared" si="10"/>
        <v>0</v>
      </c>
      <c r="H303" s="22">
        <f t="shared" si="11"/>
        <v>0</v>
      </c>
    </row>
    <row r="304" spans="7:8" x14ac:dyDescent="0.25">
      <c r="G304" s="22">
        <f t="shared" si="10"/>
        <v>0</v>
      </c>
      <c r="H304" s="22">
        <f t="shared" si="11"/>
        <v>0</v>
      </c>
    </row>
    <row r="305" spans="7:8" x14ac:dyDescent="0.25">
      <c r="G305" s="22">
        <f t="shared" si="10"/>
        <v>0</v>
      </c>
      <c r="H305" s="22">
        <f t="shared" si="11"/>
        <v>0</v>
      </c>
    </row>
    <row r="306" spans="7:8" x14ac:dyDescent="0.25">
      <c r="G306" s="22">
        <f t="shared" si="10"/>
        <v>0</v>
      </c>
      <c r="H306" s="22">
        <f t="shared" si="11"/>
        <v>0</v>
      </c>
    </row>
    <row r="307" spans="7:8" x14ac:dyDescent="0.25">
      <c r="G307" s="22">
        <f t="shared" si="10"/>
        <v>0</v>
      </c>
      <c r="H307" s="22">
        <f t="shared" si="11"/>
        <v>0</v>
      </c>
    </row>
    <row r="308" spans="7:8" x14ac:dyDescent="0.25">
      <c r="G308" s="22">
        <f t="shared" si="10"/>
        <v>0</v>
      </c>
      <c r="H308" s="22">
        <f t="shared" si="11"/>
        <v>0</v>
      </c>
    </row>
    <row r="309" spans="7:8" x14ac:dyDescent="0.25">
      <c r="G309" s="22">
        <f t="shared" si="10"/>
        <v>0</v>
      </c>
      <c r="H309" s="22">
        <f t="shared" si="11"/>
        <v>0</v>
      </c>
    </row>
    <row r="310" spans="7:8" x14ac:dyDescent="0.25">
      <c r="G310" s="22">
        <f t="shared" si="10"/>
        <v>0</v>
      </c>
      <c r="H310" s="22">
        <f t="shared" si="11"/>
        <v>0</v>
      </c>
    </row>
    <row r="311" spans="7:8" x14ac:dyDescent="0.25">
      <c r="G311" s="22">
        <f t="shared" si="10"/>
        <v>0</v>
      </c>
      <c r="H311" s="22">
        <f t="shared" si="11"/>
        <v>0</v>
      </c>
    </row>
    <row r="312" spans="7:8" x14ac:dyDescent="0.25">
      <c r="G312" s="22">
        <f t="shared" si="10"/>
        <v>0</v>
      </c>
      <c r="H312" s="22">
        <f t="shared" si="11"/>
        <v>0</v>
      </c>
    </row>
    <row r="313" spans="7:8" x14ac:dyDescent="0.25">
      <c r="G313" s="22">
        <f t="shared" si="10"/>
        <v>0</v>
      </c>
      <c r="H313" s="22">
        <f t="shared" si="11"/>
        <v>0</v>
      </c>
    </row>
    <row r="314" spans="7:8" x14ac:dyDescent="0.25">
      <c r="G314" s="22">
        <f t="shared" si="10"/>
        <v>0</v>
      </c>
      <c r="H314" s="22">
        <f t="shared" si="11"/>
        <v>0</v>
      </c>
    </row>
    <row r="315" spans="7:8" x14ac:dyDescent="0.25">
      <c r="G315" s="22">
        <f t="shared" si="10"/>
        <v>0</v>
      </c>
      <c r="H315" s="22">
        <f t="shared" si="11"/>
        <v>0</v>
      </c>
    </row>
    <row r="316" spans="7:8" x14ac:dyDescent="0.25">
      <c r="G316" s="22">
        <f t="shared" si="10"/>
        <v>0</v>
      </c>
      <c r="H316" s="22">
        <f t="shared" si="11"/>
        <v>0</v>
      </c>
    </row>
    <row r="317" spans="7:8" x14ac:dyDescent="0.25">
      <c r="G317" s="22">
        <f t="shared" si="10"/>
        <v>0</v>
      </c>
      <c r="H317" s="22">
        <f t="shared" si="11"/>
        <v>0</v>
      </c>
    </row>
    <row r="318" spans="7:8" x14ac:dyDescent="0.25">
      <c r="G318" s="22">
        <f t="shared" si="10"/>
        <v>0</v>
      </c>
      <c r="H318" s="22">
        <f t="shared" si="11"/>
        <v>0</v>
      </c>
    </row>
    <row r="319" spans="7:8" x14ac:dyDescent="0.25">
      <c r="G319" s="22">
        <f t="shared" si="10"/>
        <v>0</v>
      </c>
      <c r="H319" s="22">
        <f t="shared" si="11"/>
        <v>0</v>
      </c>
    </row>
    <row r="320" spans="7:8" x14ac:dyDescent="0.25">
      <c r="G320" s="22">
        <f t="shared" si="10"/>
        <v>0</v>
      </c>
      <c r="H320" s="22">
        <f t="shared" si="11"/>
        <v>0</v>
      </c>
    </row>
    <row r="321" spans="7:8" x14ac:dyDescent="0.25">
      <c r="G321" s="22">
        <f t="shared" si="10"/>
        <v>0</v>
      </c>
      <c r="H321" s="22">
        <f t="shared" si="11"/>
        <v>0</v>
      </c>
    </row>
  </sheetData>
  <autoFilter ref="A2:M321" xr:uid="{F1672B7D-09DD-4C6A-BF88-6B532C23B467}">
    <sortState xmlns:xlrd2="http://schemas.microsoft.com/office/spreadsheetml/2017/richdata2" ref="A3:M321">
      <sortCondition ref="A2:A321"/>
    </sortState>
  </autoFilter>
  <mergeCells count="1">
    <mergeCell ref="A1:L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7EAED-825A-41B3-96F1-039F28AD5173}">
  <dimension ref="A1:L68"/>
  <sheetViews>
    <sheetView zoomScaleNormal="100" workbookViewId="0">
      <pane xSplit="2" ySplit="2" topLeftCell="C39" activePane="bottomRight" state="frozen"/>
      <selection pane="topRight" activeCell="C1" sqref="C1"/>
      <selection pane="bottomLeft" activeCell="A3" sqref="A3"/>
      <selection pane="bottomRight" activeCell="A59" sqref="A59"/>
    </sheetView>
  </sheetViews>
  <sheetFormatPr defaultColWidth="18.28515625" defaultRowHeight="12.75" outlineLevelCol="1" x14ac:dyDescent="0.25"/>
  <cols>
    <col min="1" max="1" width="13.140625" style="15" customWidth="1"/>
    <col min="2" max="2" width="18.28515625" style="15"/>
    <col min="3" max="3" width="50.28515625" style="12" bestFit="1" customWidth="1"/>
    <col min="4" max="4" width="8.140625" style="15" customWidth="1"/>
    <col min="5" max="6" width="9.140625" style="22" customWidth="1" outlineLevel="1"/>
    <col min="7" max="7" width="9.140625" style="22" customWidth="1"/>
    <col min="8" max="8" width="7" style="15" customWidth="1"/>
    <col min="9" max="9" width="19.85546875" style="15" bestFit="1" customWidth="1"/>
    <col min="10" max="10" width="10.7109375" style="15" customWidth="1"/>
    <col min="11" max="11" width="11.42578125" style="15" customWidth="1"/>
    <col min="12" max="12" width="32.85546875" style="15" bestFit="1" customWidth="1"/>
    <col min="13" max="16384" width="18.28515625" style="15"/>
  </cols>
  <sheetData>
    <row r="1" spans="1:12" s="18" customFormat="1" x14ac:dyDescent="0.25">
      <c r="A1" s="46" t="s">
        <v>218</v>
      </c>
      <c r="B1" s="46"/>
      <c r="C1" s="46"/>
      <c r="D1" s="46"/>
      <c r="E1" s="46"/>
      <c r="F1" s="46"/>
      <c r="G1" s="46"/>
      <c r="H1" s="46"/>
      <c r="I1" s="46"/>
      <c r="J1" s="46"/>
      <c r="K1" s="46"/>
      <c r="L1" s="17"/>
    </row>
    <row r="2" spans="1:12" s="27" customFormat="1" ht="25.5" x14ac:dyDescent="0.25">
      <c r="A2" s="24" t="s">
        <v>0</v>
      </c>
      <c r="B2" s="23" t="s">
        <v>1</v>
      </c>
      <c r="C2" s="23" t="s">
        <v>2</v>
      </c>
      <c r="D2" s="23" t="s">
        <v>5</v>
      </c>
      <c r="E2" s="25" t="s">
        <v>6</v>
      </c>
      <c r="F2" s="25" t="s">
        <v>7</v>
      </c>
      <c r="G2" s="25" t="s">
        <v>8</v>
      </c>
      <c r="H2" s="26" t="s">
        <v>9</v>
      </c>
      <c r="I2" s="23" t="s">
        <v>10</v>
      </c>
      <c r="J2" s="23" t="s">
        <v>11</v>
      </c>
      <c r="K2" s="24" t="s">
        <v>12</v>
      </c>
      <c r="L2" s="23" t="s">
        <v>13</v>
      </c>
    </row>
    <row r="3" spans="1:12" x14ac:dyDescent="0.25">
      <c r="A3" s="21">
        <v>45799</v>
      </c>
      <c r="B3" s="15" t="s">
        <v>217</v>
      </c>
      <c r="C3" s="12" t="s">
        <v>384</v>
      </c>
      <c r="D3" s="15" t="s">
        <v>87</v>
      </c>
      <c r="E3" s="22">
        <v>27.55</v>
      </c>
      <c r="F3" s="22">
        <f>E3*0.2</f>
        <v>5.5100000000000007</v>
      </c>
      <c r="G3" s="22">
        <f t="shared" ref="G3:G20" si="0">SUM(E3:F3)</f>
        <v>33.06</v>
      </c>
      <c r="H3" s="15">
        <v>7800</v>
      </c>
      <c r="I3" s="15" t="s">
        <v>17</v>
      </c>
      <c r="J3" s="15">
        <v>71353402</v>
      </c>
      <c r="K3" s="21">
        <v>45813</v>
      </c>
    </row>
    <row r="4" spans="1:12" x14ac:dyDescent="0.25">
      <c r="A4" s="21">
        <v>45799</v>
      </c>
      <c r="B4" s="15" t="s">
        <v>54</v>
      </c>
      <c r="C4" s="12" t="s">
        <v>385</v>
      </c>
      <c r="D4" s="15" t="s">
        <v>87</v>
      </c>
      <c r="E4" s="22">
        <v>34.82</v>
      </c>
      <c r="F4" s="22">
        <f>E4*0.2</f>
        <v>6.9640000000000004</v>
      </c>
      <c r="G4" s="22">
        <f t="shared" si="0"/>
        <v>41.783999999999999</v>
      </c>
      <c r="H4" s="15">
        <v>7800</v>
      </c>
      <c r="I4" s="15" t="s">
        <v>17</v>
      </c>
      <c r="J4" s="15">
        <v>71353351</v>
      </c>
      <c r="K4" s="21">
        <v>45813</v>
      </c>
    </row>
    <row r="5" spans="1:12" ht="25.5" x14ac:dyDescent="0.25">
      <c r="A5" s="21">
        <v>45848</v>
      </c>
      <c r="B5" s="15" t="s">
        <v>30</v>
      </c>
      <c r="C5" s="12" t="s">
        <v>377</v>
      </c>
      <c r="D5" s="15" t="s">
        <v>87</v>
      </c>
      <c r="E5" s="22">
        <v>205.34</v>
      </c>
      <c r="F5" s="22">
        <f t="shared" ref="F5:F20" si="1">E5*0.2</f>
        <v>41.068000000000005</v>
      </c>
      <c r="G5" s="22">
        <f t="shared" si="0"/>
        <v>246.40800000000002</v>
      </c>
      <c r="H5" s="15">
        <v>7800</v>
      </c>
      <c r="I5" s="15" t="s">
        <v>17</v>
      </c>
      <c r="J5" s="15">
        <v>71455093</v>
      </c>
      <c r="L5" s="43" t="s">
        <v>378</v>
      </c>
    </row>
    <row r="6" spans="1:12" x14ac:dyDescent="0.25">
      <c r="A6" s="21">
        <v>45848</v>
      </c>
      <c r="B6" s="15" t="s">
        <v>266</v>
      </c>
      <c r="C6" s="12" t="s">
        <v>379</v>
      </c>
      <c r="D6" s="15" t="s">
        <v>87</v>
      </c>
      <c r="E6" s="22">
        <v>129.04</v>
      </c>
      <c r="F6" s="22">
        <f t="shared" si="1"/>
        <v>25.808</v>
      </c>
      <c r="G6" s="22">
        <f t="shared" si="0"/>
        <v>154.84799999999998</v>
      </c>
      <c r="H6" s="15">
        <v>7800</v>
      </c>
      <c r="I6" s="15" t="s">
        <v>17</v>
      </c>
      <c r="J6" s="15">
        <v>71455085</v>
      </c>
      <c r="K6" s="21">
        <v>45876</v>
      </c>
    </row>
    <row r="7" spans="1:12" x14ac:dyDescent="0.25">
      <c r="A7" s="21">
        <v>45848</v>
      </c>
      <c r="B7" s="15" t="s">
        <v>61</v>
      </c>
      <c r="C7" s="12" t="s">
        <v>379</v>
      </c>
      <c r="D7" s="15" t="s">
        <v>87</v>
      </c>
      <c r="E7" s="22">
        <v>128.82</v>
      </c>
      <c r="F7" s="22">
        <f t="shared" si="1"/>
        <v>25.763999999999999</v>
      </c>
      <c r="G7" s="22">
        <f t="shared" si="0"/>
        <v>154.584</v>
      </c>
      <c r="H7" s="15">
        <v>7800</v>
      </c>
      <c r="I7" s="15" t="s">
        <v>17</v>
      </c>
      <c r="J7" s="15">
        <v>71455089</v>
      </c>
      <c r="K7" s="21">
        <v>45876</v>
      </c>
    </row>
    <row r="8" spans="1:12" x14ac:dyDescent="0.25">
      <c r="A8" s="21">
        <v>45848</v>
      </c>
      <c r="B8" s="15" t="s">
        <v>51</v>
      </c>
      <c r="C8" s="12" t="s">
        <v>380</v>
      </c>
      <c r="D8" s="15" t="s">
        <v>87</v>
      </c>
      <c r="E8" s="22">
        <v>128.82</v>
      </c>
      <c r="F8" s="22">
        <f t="shared" si="1"/>
        <v>25.763999999999999</v>
      </c>
      <c r="G8" s="22">
        <f t="shared" si="0"/>
        <v>154.584</v>
      </c>
      <c r="H8" s="15">
        <v>7800</v>
      </c>
      <c r="I8" s="15" t="s">
        <v>17</v>
      </c>
      <c r="J8" s="15">
        <v>71455087</v>
      </c>
      <c r="K8" s="21">
        <v>45876</v>
      </c>
    </row>
    <row r="9" spans="1:12" x14ac:dyDescent="0.25">
      <c r="A9" s="21">
        <v>45848</v>
      </c>
      <c r="B9" s="15" t="s">
        <v>79</v>
      </c>
      <c r="C9" s="12" t="s">
        <v>380</v>
      </c>
      <c r="D9" s="15" t="s">
        <v>87</v>
      </c>
      <c r="E9" s="22">
        <v>129.04</v>
      </c>
      <c r="F9" s="22">
        <f t="shared" si="1"/>
        <v>25.808</v>
      </c>
      <c r="G9" s="22">
        <f t="shared" si="0"/>
        <v>154.84799999999998</v>
      </c>
      <c r="H9" s="15">
        <v>7800</v>
      </c>
      <c r="I9" s="15" t="s">
        <v>17</v>
      </c>
      <c r="J9" s="15">
        <v>71455097</v>
      </c>
      <c r="K9" s="21">
        <v>45876</v>
      </c>
    </row>
    <row r="10" spans="1:12" x14ac:dyDescent="0.25">
      <c r="A10" s="21">
        <v>45848</v>
      </c>
      <c r="B10" s="15" t="s">
        <v>381</v>
      </c>
      <c r="C10" s="12" t="s">
        <v>380</v>
      </c>
      <c r="D10" s="15" t="s">
        <v>87</v>
      </c>
      <c r="E10" s="22">
        <v>128.82</v>
      </c>
      <c r="F10" s="22">
        <f t="shared" si="1"/>
        <v>25.763999999999999</v>
      </c>
      <c r="G10" s="22">
        <f t="shared" si="0"/>
        <v>154.584</v>
      </c>
      <c r="H10" s="15">
        <v>7800</v>
      </c>
      <c r="I10" s="15" t="s">
        <v>17</v>
      </c>
      <c r="J10" s="15">
        <v>71455091</v>
      </c>
      <c r="K10" s="21">
        <v>45876</v>
      </c>
    </row>
    <row r="11" spans="1:12" x14ac:dyDescent="0.25">
      <c r="A11" s="21">
        <v>45848</v>
      </c>
      <c r="B11" s="15" t="s">
        <v>72</v>
      </c>
      <c r="C11" s="12" t="s">
        <v>380</v>
      </c>
      <c r="D11" s="15" t="s">
        <v>87</v>
      </c>
      <c r="E11" s="22">
        <v>128.82</v>
      </c>
      <c r="F11" s="22">
        <f t="shared" si="1"/>
        <v>25.763999999999999</v>
      </c>
      <c r="G11" s="22">
        <f t="shared" si="0"/>
        <v>154.584</v>
      </c>
      <c r="H11" s="15">
        <v>7800</v>
      </c>
      <c r="I11" s="15" t="s">
        <v>17</v>
      </c>
      <c r="J11" s="15">
        <v>71455088</v>
      </c>
      <c r="K11" s="21">
        <v>45876</v>
      </c>
    </row>
    <row r="12" spans="1:12" x14ac:dyDescent="0.25">
      <c r="A12" s="21">
        <v>45861</v>
      </c>
      <c r="B12" s="15" t="s">
        <v>337</v>
      </c>
      <c r="C12" s="12" t="s">
        <v>382</v>
      </c>
      <c r="D12" s="15" t="s">
        <v>87</v>
      </c>
      <c r="E12" s="22">
        <v>29.49</v>
      </c>
      <c r="F12" s="22">
        <f t="shared" si="1"/>
        <v>5.8979999999999997</v>
      </c>
      <c r="G12" s="22">
        <f t="shared" si="0"/>
        <v>35.387999999999998</v>
      </c>
      <c r="H12" s="15">
        <v>7800</v>
      </c>
      <c r="I12" s="15" t="s">
        <v>17</v>
      </c>
      <c r="J12" s="15">
        <v>71474188</v>
      </c>
      <c r="K12" s="21">
        <v>45877</v>
      </c>
    </row>
    <row r="13" spans="1:12" x14ac:dyDescent="0.25">
      <c r="A13" s="21">
        <v>45848</v>
      </c>
      <c r="B13" s="15" t="s">
        <v>56</v>
      </c>
      <c r="C13" s="12" t="s">
        <v>380</v>
      </c>
      <c r="D13" s="15" t="s">
        <v>87</v>
      </c>
      <c r="E13" s="22">
        <v>128.82</v>
      </c>
      <c r="F13" s="22">
        <f t="shared" si="1"/>
        <v>25.763999999999999</v>
      </c>
      <c r="G13" s="22">
        <f t="shared" si="0"/>
        <v>154.584</v>
      </c>
      <c r="H13" s="15">
        <v>7800</v>
      </c>
      <c r="I13" s="15" t="s">
        <v>17</v>
      </c>
      <c r="J13" s="15">
        <v>71455083</v>
      </c>
      <c r="K13" s="21">
        <v>45877</v>
      </c>
    </row>
    <row r="14" spans="1:12" x14ac:dyDescent="0.25">
      <c r="A14" s="21">
        <v>45848</v>
      </c>
      <c r="B14" s="15" t="s">
        <v>18</v>
      </c>
      <c r="C14" s="12" t="s">
        <v>379</v>
      </c>
      <c r="D14" s="15" t="s">
        <v>87</v>
      </c>
      <c r="E14" s="22">
        <v>128.82</v>
      </c>
      <c r="F14" s="22">
        <f t="shared" si="1"/>
        <v>25.763999999999999</v>
      </c>
      <c r="G14" s="22">
        <f t="shared" si="0"/>
        <v>154.584</v>
      </c>
      <c r="H14" s="15">
        <v>7800</v>
      </c>
      <c r="I14" s="15" t="s">
        <v>17</v>
      </c>
      <c r="J14" s="15">
        <v>71455092</v>
      </c>
      <c r="K14" s="21">
        <v>45877</v>
      </c>
    </row>
    <row r="15" spans="1:12" x14ac:dyDescent="0.25">
      <c r="A15" s="21">
        <v>45848</v>
      </c>
      <c r="B15" s="15" t="s">
        <v>383</v>
      </c>
      <c r="C15" s="12" t="s">
        <v>380</v>
      </c>
      <c r="D15" s="15" t="s">
        <v>87</v>
      </c>
      <c r="E15" s="22">
        <v>128.82</v>
      </c>
      <c r="F15" s="22">
        <f t="shared" si="1"/>
        <v>25.763999999999999</v>
      </c>
      <c r="G15" s="22">
        <f t="shared" si="0"/>
        <v>154.584</v>
      </c>
      <c r="H15" s="15">
        <v>7800</v>
      </c>
      <c r="I15" s="15" t="s">
        <v>17</v>
      </c>
      <c r="J15" s="15">
        <v>71455090</v>
      </c>
      <c r="K15" s="21">
        <v>45877</v>
      </c>
    </row>
    <row r="16" spans="1:12" x14ac:dyDescent="0.25">
      <c r="A16" s="21">
        <v>45848</v>
      </c>
      <c r="B16" s="15" t="s">
        <v>217</v>
      </c>
      <c r="C16" s="12" t="s">
        <v>380</v>
      </c>
      <c r="D16" s="15" t="s">
        <v>87</v>
      </c>
      <c r="E16" s="22">
        <v>118.3</v>
      </c>
      <c r="F16" s="22">
        <f t="shared" si="1"/>
        <v>23.66</v>
      </c>
      <c r="G16" s="22">
        <f t="shared" si="0"/>
        <v>141.96</v>
      </c>
      <c r="H16" s="15">
        <v>7800</v>
      </c>
      <c r="I16" s="15" t="s">
        <v>17</v>
      </c>
      <c r="J16" s="15">
        <v>71455095</v>
      </c>
      <c r="K16" s="21">
        <v>45877</v>
      </c>
    </row>
    <row r="17" spans="1:12" x14ac:dyDescent="0.25">
      <c r="A17" s="21">
        <v>45848</v>
      </c>
      <c r="B17" s="15" t="s">
        <v>50</v>
      </c>
      <c r="C17" s="12" t="s">
        <v>379</v>
      </c>
      <c r="D17" s="15" t="s">
        <v>87</v>
      </c>
      <c r="E17" s="22">
        <v>128.82</v>
      </c>
      <c r="F17" s="22">
        <f t="shared" si="1"/>
        <v>25.763999999999999</v>
      </c>
      <c r="G17" s="22">
        <f t="shared" si="0"/>
        <v>154.584</v>
      </c>
      <c r="H17" s="15">
        <v>7800</v>
      </c>
      <c r="I17" s="15" t="s">
        <v>17</v>
      </c>
      <c r="J17" s="15">
        <v>71455084</v>
      </c>
      <c r="K17" s="21">
        <v>45877</v>
      </c>
    </row>
    <row r="18" spans="1:12" x14ac:dyDescent="0.25">
      <c r="A18" s="21">
        <v>45848</v>
      </c>
      <c r="B18" s="15" t="s">
        <v>52</v>
      </c>
      <c r="C18" s="12" t="s">
        <v>379</v>
      </c>
      <c r="D18" s="15" t="s">
        <v>87</v>
      </c>
      <c r="E18" s="22">
        <v>129.04</v>
      </c>
      <c r="F18" s="22">
        <f t="shared" si="1"/>
        <v>25.808</v>
      </c>
      <c r="G18" s="22">
        <f t="shared" si="0"/>
        <v>154.84799999999998</v>
      </c>
      <c r="H18" s="15">
        <v>7800</v>
      </c>
      <c r="I18" s="15" t="s">
        <v>17</v>
      </c>
      <c r="J18" s="15">
        <v>71455096</v>
      </c>
      <c r="K18" s="21">
        <v>45877</v>
      </c>
    </row>
    <row r="19" spans="1:12" x14ac:dyDescent="0.25">
      <c r="A19" s="21">
        <v>45848</v>
      </c>
      <c r="B19" s="15" t="s">
        <v>36</v>
      </c>
      <c r="C19" s="12" t="s">
        <v>379</v>
      </c>
      <c r="D19" s="15" t="s">
        <v>87</v>
      </c>
      <c r="E19" s="22">
        <v>128.82</v>
      </c>
      <c r="F19" s="22">
        <f t="shared" si="1"/>
        <v>25.763999999999999</v>
      </c>
      <c r="G19" s="22">
        <f t="shared" si="0"/>
        <v>154.584</v>
      </c>
      <c r="H19" s="15">
        <v>7800</v>
      </c>
      <c r="I19" s="15" t="s">
        <v>17</v>
      </c>
      <c r="J19" s="15">
        <v>71455094</v>
      </c>
      <c r="K19" s="21">
        <v>45877</v>
      </c>
    </row>
    <row r="20" spans="1:12" x14ac:dyDescent="0.25">
      <c r="A20" s="21">
        <v>45848</v>
      </c>
      <c r="B20" s="15" t="s">
        <v>80</v>
      </c>
      <c r="C20" s="12" t="s">
        <v>379</v>
      </c>
      <c r="D20" s="15" t="s">
        <v>87</v>
      </c>
      <c r="E20" s="22">
        <v>129.04</v>
      </c>
      <c r="F20" s="22">
        <f t="shared" si="1"/>
        <v>25.808</v>
      </c>
      <c r="G20" s="22">
        <f t="shared" si="0"/>
        <v>154.84799999999998</v>
      </c>
      <c r="H20" s="15">
        <v>7800</v>
      </c>
      <c r="I20" s="15" t="s">
        <v>17</v>
      </c>
      <c r="J20" s="15">
        <v>71455098</v>
      </c>
      <c r="K20" s="21">
        <v>45877</v>
      </c>
    </row>
    <row r="21" spans="1:12" x14ac:dyDescent="0.25">
      <c r="A21" s="21">
        <v>45848</v>
      </c>
      <c r="B21" s="15" t="s">
        <v>386</v>
      </c>
      <c r="C21" s="12" t="s">
        <v>380</v>
      </c>
      <c r="D21" s="15" t="s">
        <v>87</v>
      </c>
      <c r="E21" s="22">
        <v>128.82</v>
      </c>
      <c r="F21" s="22">
        <f t="shared" ref="F21:F31" si="2">E21*0.2</f>
        <v>25.763999999999999</v>
      </c>
      <c r="G21" s="22">
        <f t="shared" ref="G21:G31" si="3">SUM(E21:F21)</f>
        <v>154.584</v>
      </c>
      <c r="H21" s="15">
        <v>7800</v>
      </c>
      <c r="I21" s="15" t="s">
        <v>17</v>
      </c>
      <c r="J21" s="15">
        <v>71455086</v>
      </c>
      <c r="K21" s="21">
        <v>45877</v>
      </c>
    </row>
    <row r="22" spans="1:12" x14ac:dyDescent="0.25">
      <c r="A22" s="21">
        <v>45840</v>
      </c>
      <c r="B22" s="15" t="s">
        <v>64</v>
      </c>
      <c r="C22" s="12" t="s">
        <v>388</v>
      </c>
      <c r="D22" s="15" t="s">
        <v>87</v>
      </c>
      <c r="E22" s="22">
        <v>36.299999999999997</v>
      </c>
      <c r="F22" s="22">
        <f t="shared" si="2"/>
        <v>7.26</v>
      </c>
      <c r="G22" s="22">
        <f t="shared" si="3"/>
        <v>43.559999999999995</v>
      </c>
      <c r="H22" s="15">
        <v>7800</v>
      </c>
      <c r="I22" s="15" t="s">
        <v>17</v>
      </c>
      <c r="J22" s="15">
        <v>71438004</v>
      </c>
      <c r="K22" s="21">
        <v>45877</v>
      </c>
      <c r="L22" s="43" t="s">
        <v>415</v>
      </c>
    </row>
    <row r="23" spans="1:12" x14ac:dyDescent="0.25">
      <c r="A23" s="21">
        <v>45855</v>
      </c>
      <c r="B23" s="15" t="s">
        <v>327</v>
      </c>
      <c r="C23" s="12" t="s">
        <v>387</v>
      </c>
      <c r="D23" s="15" t="s">
        <v>87</v>
      </c>
      <c r="E23" s="22">
        <v>21.46</v>
      </c>
      <c r="F23" s="22">
        <f t="shared" si="2"/>
        <v>4.2920000000000007</v>
      </c>
      <c r="G23" s="22">
        <f t="shared" si="3"/>
        <v>25.752000000000002</v>
      </c>
      <c r="H23" s="15">
        <v>7800</v>
      </c>
      <c r="I23" s="15" t="s">
        <v>17</v>
      </c>
      <c r="J23" s="15">
        <v>71466546</v>
      </c>
      <c r="K23" s="21">
        <v>45893</v>
      </c>
      <c r="L23" s="43" t="s">
        <v>415</v>
      </c>
    </row>
    <row r="24" spans="1:12" ht="25.5" x14ac:dyDescent="0.25">
      <c r="A24" s="21">
        <v>45893</v>
      </c>
      <c r="B24" s="15" t="s">
        <v>327</v>
      </c>
      <c r="C24" s="12" t="s">
        <v>416</v>
      </c>
      <c r="D24" s="15" t="s">
        <v>87</v>
      </c>
      <c r="E24" s="22">
        <v>-6.68</v>
      </c>
      <c r="F24" s="22">
        <f t="shared" si="2"/>
        <v>-1.3360000000000001</v>
      </c>
      <c r="G24" s="22">
        <f t="shared" si="3"/>
        <v>-8.016</v>
      </c>
      <c r="H24" s="15">
        <v>7800</v>
      </c>
      <c r="I24" s="15" t="s">
        <v>17</v>
      </c>
      <c r="J24" s="15">
        <v>71534342</v>
      </c>
      <c r="K24" s="21">
        <v>45893</v>
      </c>
      <c r="L24" s="15" t="s">
        <v>418</v>
      </c>
    </row>
    <row r="25" spans="1:12" ht="25.5" x14ac:dyDescent="0.25">
      <c r="A25" s="21">
        <v>45889</v>
      </c>
      <c r="B25" s="15" t="s">
        <v>327</v>
      </c>
      <c r="C25" s="12" t="s">
        <v>417</v>
      </c>
      <c r="D25" s="15" t="s">
        <v>87</v>
      </c>
      <c r="E25" s="22">
        <v>-14.78</v>
      </c>
      <c r="F25" s="22">
        <f t="shared" si="2"/>
        <v>-2.956</v>
      </c>
      <c r="G25" s="22">
        <f t="shared" si="3"/>
        <v>-17.736000000000001</v>
      </c>
      <c r="H25" s="15">
        <v>7800</v>
      </c>
      <c r="I25" s="15" t="s">
        <v>17</v>
      </c>
      <c r="J25" s="15">
        <v>71534340</v>
      </c>
      <c r="K25" s="21">
        <v>45893</v>
      </c>
      <c r="L25" s="15" t="s">
        <v>418</v>
      </c>
    </row>
    <row r="26" spans="1:12" x14ac:dyDescent="0.25">
      <c r="A26" s="21">
        <v>45889</v>
      </c>
      <c r="B26" s="15" t="s">
        <v>419</v>
      </c>
      <c r="C26" s="12" t="s">
        <v>420</v>
      </c>
      <c r="D26" s="15" t="s">
        <v>87</v>
      </c>
      <c r="E26" s="22">
        <v>89.75</v>
      </c>
      <c r="F26" s="22">
        <f t="shared" si="2"/>
        <v>17.95</v>
      </c>
      <c r="G26" s="22">
        <f t="shared" si="3"/>
        <v>107.7</v>
      </c>
      <c r="H26" s="15">
        <v>7800</v>
      </c>
      <c r="I26" s="15" t="s">
        <v>17</v>
      </c>
      <c r="J26" s="15">
        <v>71534545</v>
      </c>
      <c r="K26" s="21">
        <v>45893</v>
      </c>
    </row>
    <row r="27" spans="1:12" x14ac:dyDescent="0.25">
      <c r="A27" s="21">
        <v>45889</v>
      </c>
      <c r="B27" s="15" t="s">
        <v>52</v>
      </c>
      <c r="C27" s="12" t="s">
        <v>420</v>
      </c>
      <c r="D27" s="15" t="s">
        <v>87</v>
      </c>
      <c r="E27" s="22">
        <v>89.75</v>
      </c>
      <c r="F27" s="22">
        <f t="shared" si="2"/>
        <v>17.95</v>
      </c>
      <c r="G27" s="22">
        <f t="shared" si="3"/>
        <v>107.7</v>
      </c>
      <c r="H27" s="15">
        <v>7800</v>
      </c>
      <c r="I27" s="15" t="s">
        <v>17</v>
      </c>
      <c r="J27" s="15">
        <v>71534602</v>
      </c>
      <c r="K27" s="21">
        <v>45893</v>
      </c>
    </row>
    <row r="28" spans="1:12" x14ac:dyDescent="0.25">
      <c r="A28" s="21">
        <v>45889</v>
      </c>
      <c r="B28" s="15" t="s">
        <v>50</v>
      </c>
      <c r="C28" s="12" t="s">
        <v>420</v>
      </c>
      <c r="D28" s="15" t="s">
        <v>87</v>
      </c>
      <c r="E28" s="22">
        <v>89.75</v>
      </c>
      <c r="F28" s="22">
        <f t="shared" si="2"/>
        <v>17.95</v>
      </c>
      <c r="G28" s="22">
        <f t="shared" si="3"/>
        <v>107.7</v>
      </c>
      <c r="H28" s="15">
        <v>7800</v>
      </c>
      <c r="I28" s="15" t="s">
        <v>17</v>
      </c>
      <c r="J28" s="15">
        <v>71534591</v>
      </c>
      <c r="K28" s="21">
        <v>45893</v>
      </c>
    </row>
    <row r="29" spans="1:12" x14ac:dyDescent="0.25">
      <c r="A29" s="21">
        <v>45889</v>
      </c>
      <c r="B29" s="15" t="s">
        <v>386</v>
      </c>
      <c r="C29" s="12" t="s">
        <v>420</v>
      </c>
      <c r="D29" s="15" t="s">
        <v>87</v>
      </c>
      <c r="E29" s="22">
        <v>89.75</v>
      </c>
      <c r="F29" s="22">
        <f t="shared" si="2"/>
        <v>17.95</v>
      </c>
      <c r="G29" s="22">
        <f t="shared" si="3"/>
        <v>107.7</v>
      </c>
      <c r="H29" s="15">
        <v>7800</v>
      </c>
      <c r="I29" s="15" t="s">
        <v>17</v>
      </c>
      <c r="J29" s="15">
        <v>71534593</v>
      </c>
      <c r="K29" s="21">
        <v>45893</v>
      </c>
    </row>
    <row r="30" spans="1:12" x14ac:dyDescent="0.25">
      <c r="A30" s="21">
        <v>45889</v>
      </c>
      <c r="B30" s="15" t="s">
        <v>381</v>
      </c>
      <c r="C30" s="12" t="s">
        <v>420</v>
      </c>
      <c r="D30" s="15" t="s">
        <v>87</v>
      </c>
      <c r="E30" s="22">
        <v>89.75</v>
      </c>
      <c r="F30" s="22">
        <f t="shared" si="2"/>
        <v>17.95</v>
      </c>
      <c r="G30" s="22">
        <f t="shared" si="3"/>
        <v>107.7</v>
      </c>
      <c r="H30" s="15">
        <v>7800</v>
      </c>
      <c r="I30" s="15" t="s">
        <v>17</v>
      </c>
      <c r="J30" s="15">
        <v>71534598</v>
      </c>
      <c r="K30" s="21">
        <v>45893</v>
      </c>
    </row>
    <row r="31" spans="1:12" x14ac:dyDescent="0.25">
      <c r="A31" s="21">
        <v>45889</v>
      </c>
      <c r="B31" s="15" t="s">
        <v>421</v>
      </c>
      <c r="C31" s="12" t="s">
        <v>420</v>
      </c>
      <c r="D31" s="15" t="s">
        <v>87</v>
      </c>
      <c r="E31" s="22">
        <v>89.75</v>
      </c>
      <c r="F31" s="22">
        <f t="shared" si="2"/>
        <v>17.95</v>
      </c>
      <c r="G31" s="22">
        <f t="shared" si="3"/>
        <v>107.7</v>
      </c>
      <c r="H31" s="15">
        <v>7800</v>
      </c>
      <c r="I31" s="15" t="s">
        <v>17</v>
      </c>
      <c r="J31" s="15">
        <v>71534553</v>
      </c>
      <c r="K31" s="21">
        <v>45893</v>
      </c>
    </row>
    <row r="32" spans="1:12" x14ac:dyDescent="0.25">
      <c r="A32" s="21">
        <v>45889</v>
      </c>
      <c r="B32" s="15" t="s">
        <v>72</v>
      </c>
      <c r="C32" s="12" t="s">
        <v>420</v>
      </c>
      <c r="D32" s="15" t="s">
        <v>87</v>
      </c>
      <c r="E32" s="22">
        <v>89.75</v>
      </c>
      <c r="F32" s="22">
        <f t="shared" ref="F32:F57" si="4">E32*0.2</f>
        <v>17.95</v>
      </c>
      <c r="G32" s="22">
        <f t="shared" ref="G32:G57" si="5">SUM(E32:F32)</f>
        <v>107.7</v>
      </c>
      <c r="H32" s="15">
        <v>7800</v>
      </c>
      <c r="I32" s="15" t="s">
        <v>17</v>
      </c>
      <c r="J32" s="15">
        <v>71534595</v>
      </c>
      <c r="K32" s="21">
        <v>45893</v>
      </c>
    </row>
    <row r="33" spans="1:11" x14ac:dyDescent="0.25">
      <c r="A33" s="21">
        <v>45889</v>
      </c>
      <c r="B33" s="15" t="s">
        <v>51</v>
      </c>
      <c r="C33" s="12" t="s">
        <v>420</v>
      </c>
      <c r="D33" s="15" t="s">
        <v>87</v>
      </c>
      <c r="E33" s="22">
        <v>89.75</v>
      </c>
      <c r="F33" s="22">
        <f t="shared" si="4"/>
        <v>17.95</v>
      </c>
      <c r="G33" s="22">
        <f t="shared" si="5"/>
        <v>107.7</v>
      </c>
      <c r="H33" s="15">
        <v>7800</v>
      </c>
      <c r="I33" s="15" t="s">
        <v>17</v>
      </c>
      <c r="J33" s="15">
        <v>71534594</v>
      </c>
      <c r="K33" s="21">
        <v>45893</v>
      </c>
    </row>
    <row r="34" spans="1:11" x14ac:dyDescent="0.25">
      <c r="A34" s="21">
        <v>45889</v>
      </c>
      <c r="B34" s="15" t="s">
        <v>260</v>
      </c>
      <c r="C34" s="12" t="s">
        <v>420</v>
      </c>
      <c r="D34" s="15" t="s">
        <v>87</v>
      </c>
      <c r="E34" s="22">
        <v>89.75</v>
      </c>
      <c r="F34" s="22">
        <f t="shared" si="4"/>
        <v>17.95</v>
      </c>
      <c r="G34" s="22">
        <f t="shared" si="5"/>
        <v>107.7</v>
      </c>
      <c r="H34" s="15">
        <v>7800</v>
      </c>
      <c r="I34" s="15" t="s">
        <v>17</v>
      </c>
      <c r="J34" s="15">
        <v>71534547</v>
      </c>
      <c r="K34" s="21">
        <v>45893</v>
      </c>
    </row>
    <row r="35" spans="1:11" x14ac:dyDescent="0.25">
      <c r="A35" s="21">
        <v>45889</v>
      </c>
      <c r="B35" s="15" t="s">
        <v>328</v>
      </c>
      <c r="C35" s="12" t="s">
        <v>420</v>
      </c>
      <c r="D35" s="15" t="s">
        <v>87</v>
      </c>
      <c r="E35" s="22">
        <v>89.75</v>
      </c>
      <c r="F35" s="22">
        <f t="shared" si="4"/>
        <v>17.95</v>
      </c>
      <c r="G35" s="22">
        <f t="shared" si="5"/>
        <v>107.7</v>
      </c>
      <c r="H35" s="15">
        <v>7800</v>
      </c>
      <c r="I35" s="15" t="s">
        <v>17</v>
      </c>
      <c r="J35" s="15">
        <v>71534546</v>
      </c>
      <c r="K35" s="21">
        <v>45893</v>
      </c>
    </row>
    <row r="36" spans="1:11" x14ac:dyDescent="0.25">
      <c r="A36" s="21">
        <v>45889</v>
      </c>
      <c r="B36" s="15" t="s">
        <v>422</v>
      </c>
      <c r="C36" s="12" t="s">
        <v>420</v>
      </c>
      <c r="D36" s="15" t="s">
        <v>87</v>
      </c>
      <c r="E36" s="22">
        <v>89.75</v>
      </c>
      <c r="F36" s="22">
        <f t="shared" si="4"/>
        <v>17.95</v>
      </c>
      <c r="G36" s="22">
        <f t="shared" si="5"/>
        <v>107.7</v>
      </c>
      <c r="H36" s="15">
        <v>7800</v>
      </c>
      <c r="I36" s="15" t="s">
        <v>17</v>
      </c>
      <c r="J36" s="15">
        <v>71534555</v>
      </c>
      <c r="K36" s="21">
        <v>45893</v>
      </c>
    </row>
    <row r="37" spans="1:11" x14ac:dyDescent="0.25">
      <c r="A37" s="21">
        <v>45889</v>
      </c>
      <c r="B37" s="15" t="s">
        <v>423</v>
      </c>
      <c r="C37" s="12" t="s">
        <v>420</v>
      </c>
      <c r="D37" s="15" t="s">
        <v>87</v>
      </c>
      <c r="E37" s="22">
        <v>89.75</v>
      </c>
      <c r="F37" s="22">
        <f t="shared" si="4"/>
        <v>17.95</v>
      </c>
      <c r="G37" s="22">
        <f t="shared" si="5"/>
        <v>107.7</v>
      </c>
      <c r="H37" s="15">
        <v>7800</v>
      </c>
      <c r="I37" s="15" t="s">
        <v>17</v>
      </c>
      <c r="J37" s="15">
        <v>71534549</v>
      </c>
      <c r="K37" s="21">
        <v>45893</v>
      </c>
    </row>
    <row r="38" spans="1:11" x14ac:dyDescent="0.25">
      <c r="A38" s="21">
        <v>45889</v>
      </c>
      <c r="B38" s="15" t="s">
        <v>274</v>
      </c>
      <c r="C38" s="12" t="s">
        <v>420</v>
      </c>
      <c r="D38" s="15" t="s">
        <v>87</v>
      </c>
      <c r="E38" s="22">
        <v>89.75</v>
      </c>
      <c r="F38" s="22">
        <f t="shared" si="4"/>
        <v>17.95</v>
      </c>
      <c r="G38" s="22">
        <f t="shared" si="5"/>
        <v>107.7</v>
      </c>
      <c r="H38" s="15">
        <v>7800</v>
      </c>
      <c r="I38" s="15" t="s">
        <v>17</v>
      </c>
      <c r="J38" s="15">
        <v>71534552</v>
      </c>
      <c r="K38" s="21">
        <v>45893</v>
      </c>
    </row>
    <row r="39" spans="1:11" x14ac:dyDescent="0.25">
      <c r="A39" s="21">
        <v>45889</v>
      </c>
      <c r="B39" s="15" t="s">
        <v>225</v>
      </c>
      <c r="C39" s="12" t="s">
        <v>420</v>
      </c>
      <c r="D39" s="15" t="s">
        <v>87</v>
      </c>
      <c r="E39" s="22">
        <v>89.75</v>
      </c>
      <c r="F39" s="22">
        <f t="shared" si="4"/>
        <v>17.95</v>
      </c>
      <c r="G39" s="22">
        <f t="shared" si="5"/>
        <v>107.7</v>
      </c>
      <c r="H39" s="15">
        <v>7800</v>
      </c>
      <c r="I39" s="15" t="s">
        <v>17</v>
      </c>
      <c r="J39" s="15">
        <v>71534550</v>
      </c>
      <c r="K39" s="21">
        <v>45893</v>
      </c>
    </row>
    <row r="40" spans="1:11" x14ac:dyDescent="0.25">
      <c r="A40" s="21">
        <v>45889</v>
      </c>
      <c r="B40" s="15" t="s">
        <v>56</v>
      </c>
      <c r="C40" s="12" t="s">
        <v>420</v>
      </c>
      <c r="D40" s="15" t="s">
        <v>87</v>
      </c>
      <c r="E40" s="22">
        <v>89.75</v>
      </c>
      <c r="F40" s="22">
        <f t="shared" si="4"/>
        <v>17.95</v>
      </c>
      <c r="G40" s="22">
        <f t="shared" si="5"/>
        <v>107.7</v>
      </c>
      <c r="H40" s="15">
        <v>7800</v>
      </c>
      <c r="I40" s="15" t="s">
        <v>17</v>
      </c>
      <c r="J40" s="15">
        <v>71534590</v>
      </c>
      <c r="K40" s="21">
        <v>45893</v>
      </c>
    </row>
    <row r="41" spans="1:11" x14ac:dyDescent="0.25">
      <c r="A41" s="21">
        <v>45889</v>
      </c>
      <c r="B41" s="15" t="s">
        <v>217</v>
      </c>
      <c r="C41" s="12" t="s">
        <v>420</v>
      </c>
      <c r="D41" s="15" t="s">
        <v>87</v>
      </c>
      <c r="E41" s="22">
        <v>89.75</v>
      </c>
      <c r="F41" s="22">
        <f t="shared" si="4"/>
        <v>17.95</v>
      </c>
      <c r="G41" s="22">
        <f t="shared" si="5"/>
        <v>107.7</v>
      </c>
      <c r="H41" s="15">
        <v>7800</v>
      </c>
      <c r="I41" s="15" t="s">
        <v>17</v>
      </c>
      <c r="J41" s="15">
        <v>71534601</v>
      </c>
      <c r="K41" s="21">
        <v>45893</v>
      </c>
    </row>
    <row r="42" spans="1:11" x14ac:dyDescent="0.25">
      <c r="A42" s="21">
        <v>45889</v>
      </c>
      <c r="B42" s="15" t="s">
        <v>61</v>
      </c>
      <c r="C42" s="12" t="s">
        <v>420</v>
      </c>
      <c r="D42" s="15" t="s">
        <v>87</v>
      </c>
      <c r="E42" s="22">
        <v>89.75</v>
      </c>
      <c r="F42" s="22">
        <f t="shared" si="4"/>
        <v>17.95</v>
      </c>
      <c r="G42" s="22">
        <f t="shared" si="5"/>
        <v>107.7</v>
      </c>
      <c r="H42" s="15">
        <v>7800</v>
      </c>
      <c r="I42" s="15" t="s">
        <v>17</v>
      </c>
      <c r="J42" s="15">
        <v>71534596</v>
      </c>
      <c r="K42" s="21">
        <v>45893</v>
      </c>
    </row>
    <row r="43" spans="1:11" x14ac:dyDescent="0.25">
      <c r="A43" s="21">
        <v>45889</v>
      </c>
      <c r="B43" s="15" t="s">
        <v>383</v>
      </c>
      <c r="C43" s="12" t="s">
        <v>420</v>
      </c>
      <c r="D43" s="15" t="s">
        <v>87</v>
      </c>
      <c r="E43" s="22">
        <v>89.75</v>
      </c>
      <c r="F43" s="22">
        <f t="shared" si="4"/>
        <v>17.95</v>
      </c>
      <c r="G43" s="22">
        <f t="shared" si="5"/>
        <v>107.7</v>
      </c>
      <c r="H43" s="15">
        <v>7800</v>
      </c>
      <c r="I43" s="15" t="s">
        <v>17</v>
      </c>
      <c r="J43" s="15">
        <v>71534597</v>
      </c>
      <c r="K43" s="21">
        <v>45893</v>
      </c>
    </row>
    <row r="44" spans="1:11" x14ac:dyDescent="0.25">
      <c r="A44" s="21">
        <v>45889</v>
      </c>
      <c r="B44" s="15" t="s">
        <v>29</v>
      </c>
      <c r="C44" s="12" t="s">
        <v>420</v>
      </c>
      <c r="D44" s="15" t="s">
        <v>87</v>
      </c>
      <c r="E44" s="22">
        <v>89.75</v>
      </c>
      <c r="F44" s="22">
        <f t="shared" si="4"/>
        <v>17.95</v>
      </c>
      <c r="G44" s="22">
        <f t="shared" si="5"/>
        <v>107.7</v>
      </c>
      <c r="H44" s="15">
        <v>7800</v>
      </c>
      <c r="I44" s="15" t="s">
        <v>17</v>
      </c>
      <c r="J44" s="15">
        <v>71534544</v>
      </c>
      <c r="K44" s="21">
        <v>45893</v>
      </c>
    </row>
    <row r="45" spans="1:11" x14ac:dyDescent="0.25">
      <c r="A45" s="21">
        <v>45889</v>
      </c>
      <c r="B45" s="15" t="s">
        <v>79</v>
      </c>
      <c r="C45" s="12" t="s">
        <v>420</v>
      </c>
      <c r="D45" s="15" t="s">
        <v>87</v>
      </c>
      <c r="E45" s="22">
        <v>89.75</v>
      </c>
      <c r="F45" s="22">
        <f t="shared" si="4"/>
        <v>17.95</v>
      </c>
      <c r="G45" s="22">
        <f t="shared" si="5"/>
        <v>107.7</v>
      </c>
      <c r="H45" s="15">
        <v>7800</v>
      </c>
      <c r="I45" s="15" t="s">
        <v>17</v>
      </c>
      <c r="J45" s="15">
        <v>71534603</v>
      </c>
      <c r="K45" s="21">
        <v>45893</v>
      </c>
    </row>
    <row r="46" spans="1:11" x14ac:dyDescent="0.25">
      <c r="A46" s="45">
        <v>45889</v>
      </c>
      <c r="B46" s="15" t="s">
        <v>86</v>
      </c>
      <c r="C46" s="12" t="s">
        <v>420</v>
      </c>
      <c r="D46" s="15" t="s">
        <v>87</v>
      </c>
      <c r="E46" s="22">
        <v>89.75</v>
      </c>
      <c r="F46" s="22">
        <f t="shared" si="4"/>
        <v>17.95</v>
      </c>
      <c r="G46" s="22">
        <f t="shared" si="5"/>
        <v>107.7</v>
      </c>
      <c r="H46" s="15">
        <v>7800</v>
      </c>
      <c r="I46" s="15" t="s">
        <v>17</v>
      </c>
      <c r="J46" s="15">
        <v>71534543</v>
      </c>
      <c r="K46" s="21">
        <v>45893</v>
      </c>
    </row>
    <row r="47" spans="1:11" x14ac:dyDescent="0.25">
      <c r="A47" s="21">
        <v>45889</v>
      </c>
      <c r="B47" s="15" t="s">
        <v>424</v>
      </c>
      <c r="C47" s="12" t="s">
        <v>420</v>
      </c>
      <c r="D47" s="15" t="s">
        <v>87</v>
      </c>
      <c r="E47" s="22">
        <v>89.75</v>
      </c>
      <c r="F47" s="22">
        <f t="shared" si="4"/>
        <v>17.95</v>
      </c>
      <c r="G47" s="22">
        <f t="shared" si="5"/>
        <v>107.7</v>
      </c>
      <c r="H47" s="15">
        <v>7800</v>
      </c>
      <c r="I47" s="15" t="s">
        <v>17</v>
      </c>
      <c r="J47" s="15">
        <v>71534551</v>
      </c>
      <c r="K47" s="21">
        <v>45893</v>
      </c>
    </row>
    <row r="48" spans="1:11" x14ac:dyDescent="0.25">
      <c r="A48" s="21">
        <v>45889</v>
      </c>
      <c r="B48" s="15" t="s">
        <v>36</v>
      </c>
      <c r="C48" s="12" t="s">
        <v>420</v>
      </c>
      <c r="D48" s="15" t="s">
        <v>87</v>
      </c>
      <c r="E48" s="22">
        <v>89.75</v>
      </c>
      <c r="F48" s="22">
        <f t="shared" si="4"/>
        <v>17.95</v>
      </c>
      <c r="G48" s="22">
        <f t="shared" si="5"/>
        <v>107.7</v>
      </c>
      <c r="H48" s="15">
        <v>7800</v>
      </c>
      <c r="I48" s="15" t="s">
        <v>17</v>
      </c>
      <c r="J48" s="15">
        <v>71534600</v>
      </c>
      <c r="K48" s="21">
        <v>45893</v>
      </c>
    </row>
    <row r="49" spans="1:11" x14ac:dyDescent="0.25">
      <c r="A49" s="21">
        <v>45889</v>
      </c>
      <c r="B49" s="15" t="s">
        <v>80</v>
      </c>
      <c r="C49" s="12" t="s">
        <v>420</v>
      </c>
      <c r="D49" s="15" t="s">
        <v>87</v>
      </c>
      <c r="E49" s="22">
        <v>89.75</v>
      </c>
      <c r="F49" s="22">
        <f t="shared" si="4"/>
        <v>17.95</v>
      </c>
      <c r="G49" s="22">
        <f t="shared" si="5"/>
        <v>107.7</v>
      </c>
      <c r="H49" s="15">
        <v>7800</v>
      </c>
      <c r="I49" s="15" t="s">
        <v>17</v>
      </c>
      <c r="J49" s="15">
        <v>71534604</v>
      </c>
      <c r="K49" s="21">
        <v>45893</v>
      </c>
    </row>
    <row r="50" spans="1:11" x14ac:dyDescent="0.25">
      <c r="A50" s="21">
        <v>45889</v>
      </c>
      <c r="B50" s="15" t="s">
        <v>337</v>
      </c>
      <c r="C50" s="12" t="s">
        <v>420</v>
      </c>
      <c r="D50" s="15" t="s">
        <v>87</v>
      </c>
      <c r="E50" s="22">
        <v>89.75</v>
      </c>
      <c r="F50" s="22">
        <f t="shared" si="4"/>
        <v>17.95</v>
      </c>
      <c r="G50" s="22">
        <f t="shared" si="5"/>
        <v>107.7</v>
      </c>
      <c r="H50" s="15">
        <v>7800</v>
      </c>
      <c r="I50" s="15" t="s">
        <v>17</v>
      </c>
      <c r="J50" s="15">
        <v>71534556</v>
      </c>
      <c r="K50" s="21">
        <v>45893</v>
      </c>
    </row>
    <row r="51" spans="1:11" x14ac:dyDescent="0.25">
      <c r="A51" s="21">
        <v>45889</v>
      </c>
      <c r="B51" s="15" t="s">
        <v>59</v>
      </c>
      <c r="C51" s="12" t="s">
        <v>420</v>
      </c>
      <c r="D51" s="15" t="s">
        <v>87</v>
      </c>
      <c r="E51" s="22">
        <v>89.75</v>
      </c>
      <c r="F51" s="22">
        <f t="shared" si="4"/>
        <v>17.95</v>
      </c>
      <c r="G51" s="22">
        <f t="shared" si="5"/>
        <v>107.7</v>
      </c>
      <c r="H51" s="15">
        <v>7800</v>
      </c>
      <c r="I51" s="15" t="s">
        <v>17</v>
      </c>
      <c r="J51" s="15">
        <v>71534554</v>
      </c>
      <c r="K51" s="21">
        <v>45893</v>
      </c>
    </row>
    <row r="52" spans="1:11" x14ac:dyDescent="0.25">
      <c r="A52" s="21">
        <v>45889</v>
      </c>
      <c r="B52" s="15" t="s">
        <v>266</v>
      </c>
      <c r="C52" s="12" t="s">
        <v>420</v>
      </c>
      <c r="D52" s="15" t="s">
        <v>87</v>
      </c>
      <c r="E52" s="22">
        <v>89.75</v>
      </c>
      <c r="F52" s="22">
        <f t="shared" si="4"/>
        <v>17.95</v>
      </c>
      <c r="G52" s="22">
        <f t="shared" si="5"/>
        <v>107.7</v>
      </c>
      <c r="H52" s="15">
        <v>7800</v>
      </c>
      <c r="I52" s="15" t="s">
        <v>17</v>
      </c>
      <c r="J52" s="15">
        <v>71534592</v>
      </c>
      <c r="K52" s="21">
        <v>45893</v>
      </c>
    </row>
    <row r="53" spans="1:11" x14ac:dyDescent="0.25">
      <c r="A53" s="21">
        <v>45889</v>
      </c>
      <c r="B53" s="15" t="s">
        <v>18</v>
      </c>
      <c r="C53" s="12" t="s">
        <v>420</v>
      </c>
      <c r="D53" s="15" t="s">
        <v>87</v>
      </c>
      <c r="E53" s="22">
        <v>89.75</v>
      </c>
      <c r="F53" s="22">
        <f t="shared" si="4"/>
        <v>17.95</v>
      </c>
      <c r="G53" s="22">
        <f t="shared" si="5"/>
        <v>107.7</v>
      </c>
      <c r="H53" s="15">
        <v>7800</v>
      </c>
      <c r="I53" s="15" t="s">
        <v>17</v>
      </c>
      <c r="J53" s="15">
        <v>71534599</v>
      </c>
      <c r="K53" s="21">
        <v>45893</v>
      </c>
    </row>
    <row r="54" spans="1:11" x14ac:dyDescent="0.25">
      <c r="A54" s="21">
        <v>45889</v>
      </c>
      <c r="B54" s="15" t="s">
        <v>68</v>
      </c>
      <c r="C54" s="12" t="s">
        <v>420</v>
      </c>
      <c r="D54" s="15" t="s">
        <v>87</v>
      </c>
      <c r="E54" s="22">
        <v>89.75</v>
      </c>
      <c r="F54" s="22">
        <f t="shared" si="4"/>
        <v>17.95</v>
      </c>
      <c r="G54" s="22">
        <f t="shared" si="5"/>
        <v>107.7</v>
      </c>
      <c r="H54" s="15">
        <v>7800</v>
      </c>
      <c r="I54" s="15" t="s">
        <v>17</v>
      </c>
      <c r="J54" s="15">
        <v>71534548</v>
      </c>
      <c r="K54" s="21">
        <v>45893</v>
      </c>
    </row>
    <row r="55" spans="1:11" x14ac:dyDescent="0.25">
      <c r="A55" s="21">
        <v>45916</v>
      </c>
      <c r="B55" s="15" t="s">
        <v>69</v>
      </c>
      <c r="C55" s="12" t="s">
        <v>527</v>
      </c>
      <c r="D55" s="15" t="s">
        <v>87</v>
      </c>
      <c r="E55" s="22">
        <v>714.48</v>
      </c>
      <c r="F55" s="22">
        <f t="shared" si="4"/>
        <v>142.89600000000002</v>
      </c>
      <c r="G55" s="22">
        <f t="shared" si="5"/>
        <v>857.37599999999998</v>
      </c>
      <c r="H55" s="15">
        <v>7800</v>
      </c>
      <c r="I55" s="15" t="s">
        <v>17</v>
      </c>
      <c r="J55" s="15">
        <v>71637156</v>
      </c>
      <c r="K55" s="21">
        <v>45994</v>
      </c>
    </row>
    <row r="56" spans="1:11" x14ac:dyDescent="0.25">
      <c r="A56" s="21">
        <v>45962</v>
      </c>
      <c r="B56" s="15" t="s">
        <v>515</v>
      </c>
      <c r="C56" s="12" t="s">
        <v>524</v>
      </c>
      <c r="D56" s="15" t="s">
        <v>87</v>
      </c>
      <c r="E56" s="22">
        <v>115.06</v>
      </c>
      <c r="F56" s="22">
        <f t="shared" si="4"/>
        <v>23.012</v>
      </c>
      <c r="G56" s="22">
        <f t="shared" si="5"/>
        <v>138.072</v>
      </c>
      <c r="H56" s="15">
        <v>7800</v>
      </c>
      <c r="I56" s="15" t="s">
        <v>17</v>
      </c>
      <c r="J56" s="15">
        <v>71739183</v>
      </c>
      <c r="K56" s="21">
        <v>45994</v>
      </c>
    </row>
    <row r="57" spans="1:11" x14ac:dyDescent="0.25">
      <c r="A57" s="21">
        <v>45967</v>
      </c>
      <c r="B57" s="15" t="s">
        <v>508</v>
      </c>
      <c r="C57" s="12" t="s">
        <v>525</v>
      </c>
      <c r="D57" s="15" t="s">
        <v>87</v>
      </c>
      <c r="E57" s="22">
        <v>113.44</v>
      </c>
      <c r="F57" s="22">
        <f t="shared" si="4"/>
        <v>22.688000000000002</v>
      </c>
      <c r="G57" s="22">
        <f t="shared" si="5"/>
        <v>136.12799999999999</v>
      </c>
      <c r="H57" s="15">
        <v>7800</v>
      </c>
      <c r="I57" s="15" t="s">
        <v>17</v>
      </c>
      <c r="J57" s="15">
        <v>71753447</v>
      </c>
      <c r="K57" s="21">
        <v>45988</v>
      </c>
    </row>
    <row r="58" spans="1:11" x14ac:dyDescent="0.25">
      <c r="A58" s="21">
        <v>45989</v>
      </c>
      <c r="B58" s="15" t="s">
        <v>88</v>
      </c>
      <c r="C58" s="12" t="s">
        <v>526</v>
      </c>
      <c r="D58" s="15" t="s">
        <v>87</v>
      </c>
      <c r="E58" s="22">
        <v>106.31</v>
      </c>
      <c r="F58" s="22">
        <f>E58*0.2</f>
        <v>21.262</v>
      </c>
      <c r="G58" s="22">
        <f>SUM(E58+F58)</f>
        <v>127.572</v>
      </c>
      <c r="H58" s="15">
        <v>7800</v>
      </c>
      <c r="I58" s="15" t="s">
        <v>17</v>
      </c>
      <c r="J58" s="15">
        <v>71794324</v>
      </c>
      <c r="K58" s="21">
        <v>45994</v>
      </c>
    </row>
    <row r="59" spans="1:11" x14ac:dyDescent="0.25">
      <c r="D59" s="15" t="s">
        <v>87</v>
      </c>
      <c r="F59" s="22">
        <f t="shared" ref="F59:F68" si="6">E59*0.2</f>
        <v>0</v>
      </c>
      <c r="G59" s="22">
        <f t="shared" ref="G59:G68" si="7">SUM(E59+F59)</f>
        <v>0</v>
      </c>
      <c r="H59" s="15">
        <v>7800</v>
      </c>
      <c r="I59" s="15" t="s">
        <v>17</v>
      </c>
    </row>
    <row r="60" spans="1:11" x14ac:dyDescent="0.25">
      <c r="D60" s="15" t="s">
        <v>87</v>
      </c>
      <c r="F60" s="22">
        <f t="shared" si="6"/>
        <v>0</v>
      </c>
      <c r="G60" s="22">
        <f t="shared" si="7"/>
        <v>0</v>
      </c>
      <c r="H60" s="15">
        <v>7800</v>
      </c>
      <c r="I60" s="15" t="s">
        <v>17</v>
      </c>
    </row>
    <row r="61" spans="1:11" x14ac:dyDescent="0.25">
      <c r="D61" s="15" t="s">
        <v>87</v>
      </c>
      <c r="F61" s="22">
        <f t="shared" si="6"/>
        <v>0</v>
      </c>
      <c r="G61" s="22">
        <f t="shared" si="7"/>
        <v>0</v>
      </c>
      <c r="H61" s="15">
        <v>7800</v>
      </c>
      <c r="I61" s="15" t="s">
        <v>17</v>
      </c>
    </row>
    <row r="62" spans="1:11" x14ac:dyDescent="0.25">
      <c r="D62" s="15" t="s">
        <v>87</v>
      </c>
      <c r="F62" s="22">
        <f t="shared" si="6"/>
        <v>0</v>
      </c>
      <c r="G62" s="22">
        <f t="shared" si="7"/>
        <v>0</v>
      </c>
      <c r="H62" s="15">
        <v>7800</v>
      </c>
      <c r="I62" s="15" t="s">
        <v>17</v>
      </c>
    </row>
    <row r="63" spans="1:11" x14ac:dyDescent="0.25">
      <c r="D63" s="15" t="s">
        <v>87</v>
      </c>
      <c r="F63" s="22">
        <f t="shared" si="6"/>
        <v>0</v>
      </c>
      <c r="G63" s="22">
        <f t="shared" si="7"/>
        <v>0</v>
      </c>
      <c r="H63" s="15">
        <v>7800</v>
      </c>
      <c r="I63" s="15" t="s">
        <v>17</v>
      </c>
    </row>
    <row r="64" spans="1:11" x14ac:dyDescent="0.25">
      <c r="D64" s="15" t="s">
        <v>87</v>
      </c>
      <c r="F64" s="22">
        <f t="shared" si="6"/>
        <v>0</v>
      </c>
      <c r="G64" s="22">
        <f t="shared" si="7"/>
        <v>0</v>
      </c>
      <c r="H64" s="15">
        <v>7800</v>
      </c>
      <c r="I64" s="15" t="s">
        <v>17</v>
      </c>
    </row>
    <row r="65" spans="4:9" x14ac:dyDescent="0.25">
      <c r="D65" s="15" t="s">
        <v>87</v>
      </c>
      <c r="F65" s="22">
        <f t="shared" si="6"/>
        <v>0</v>
      </c>
      <c r="G65" s="22">
        <f t="shared" si="7"/>
        <v>0</v>
      </c>
      <c r="H65" s="15">
        <v>7800</v>
      </c>
      <c r="I65" s="15" t="s">
        <v>17</v>
      </c>
    </row>
    <row r="66" spans="4:9" x14ac:dyDescent="0.25">
      <c r="D66" s="15" t="s">
        <v>87</v>
      </c>
      <c r="F66" s="22">
        <f t="shared" si="6"/>
        <v>0</v>
      </c>
      <c r="G66" s="22">
        <f t="shared" si="7"/>
        <v>0</v>
      </c>
      <c r="H66" s="15">
        <v>7800</v>
      </c>
      <c r="I66" s="15" t="s">
        <v>17</v>
      </c>
    </row>
    <row r="67" spans="4:9" x14ac:dyDescent="0.25">
      <c r="D67" s="15" t="s">
        <v>87</v>
      </c>
      <c r="F67" s="22">
        <f t="shared" si="6"/>
        <v>0</v>
      </c>
      <c r="G67" s="22">
        <f t="shared" si="7"/>
        <v>0</v>
      </c>
      <c r="H67" s="15">
        <v>7800</v>
      </c>
      <c r="I67" s="15" t="s">
        <v>17</v>
      </c>
    </row>
    <row r="68" spans="4:9" x14ac:dyDescent="0.25">
      <c r="D68" s="15" t="s">
        <v>87</v>
      </c>
      <c r="F68" s="22">
        <f t="shared" si="6"/>
        <v>0</v>
      </c>
      <c r="G68" s="22">
        <f t="shared" si="7"/>
        <v>0</v>
      </c>
      <c r="H68" s="15">
        <v>7800</v>
      </c>
      <c r="I68" s="15" t="s">
        <v>17</v>
      </c>
    </row>
  </sheetData>
  <autoFilter ref="A2:L250" xr:uid="{5DD7EAED-825A-41B3-96F1-039F28AD5173}">
    <sortState xmlns:xlrd2="http://schemas.microsoft.com/office/spreadsheetml/2017/richdata2" ref="A3:L250">
      <sortCondition ref="A2:A250"/>
    </sortState>
  </autoFilter>
  <mergeCells count="1">
    <mergeCell ref="A1:K1"/>
  </mergeCells>
  <phoneticPr fontId="4" type="noConversion"/>
  <pageMargins left="0.7" right="0.7" top="0.75" bottom="0.75" header="0.3" footer="0.3"/>
  <pageSetup paperSize="9"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09A6D-E6B6-46D4-8CFF-F76D9DF8CB68}">
  <dimension ref="A1:L31"/>
  <sheetViews>
    <sheetView tabSelected="1" zoomScale="80" zoomScaleNormal="80" workbookViewId="0">
      <pane ySplit="2" topLeftCell="A3" activePane="bottomLeft" state="frozen"/>
      <selection pane="bottomLeft" activeCell="L17" sqref="L17"/>
    </sheetView>
  </sheetViews>
  <sheetFormatPr defaultColWidth="9.140625" defaultRowHeight="15" x14ac:dyDescent="0.25"/>
  <cols>
    <col min="1" max="1" width="23.42578125" style="1" bestFit="1" customWidth="1"/>
    <col min="2" max="2" width="18.85546875" style="1" bestFit="1" customWidth="1"/>
    <col min="3" max="3" width="63.28515625" style="13" customWidth="1"/>
    <col min="4" max="4" width="32.28515625" style="13" customWidth="1"/>
    <col min="5" max="5" width="18.5703125" style="14" bestFit="1" customWidth="1"/>
    <col min="6" max="6" width="11.5703125" style="14" bestFit="1" customWidth="1"/>
    <col min="7" max="7" width="22" style="14" bestFit="1" customWidth="1"/>
    <col min="8" max="8" width="13.42578125" style="1" bestFit="1" customWidth="1"/>
    <col min="9" max="9" width="25.7109375" style="1" bestFit="1" customWidth="1"/>
    <col min="10" max="10" width="20.7109375" style="1" bestFit="1" customWidth="1"/>
    <col min="11" max="11" width="26.28515625" style="1" bestFit="1" customWidth="1"/>
    <col min="12" max="12" width="20.5703125" style="1" bestFit="1" customWidth="1"/>
    <col min="13" max="16384" width="9.140625" style="1"/>
  </cols>
  <sheetData>
    <row r="1" spans="1:12" s="6" customFormat="1" x14ac:dyDescent="0.25">
      <c r="A1" s="48" t="s">
        <v>237</v>
      </c>
      <c r="B1" s="48"/>
      <c r="C1" s="48"/>
      <c r="D1" s="48"/>
      <c r="E1" s="48"/>
      <c r="F1" s="48"/>
      <c r="G1" s="48"/>
      <c r="H1" s="48"/>
      <c r="I1" s="48"/>
      <c r="J1" s="48"/>
      <c r="K1" s="48"/>
      <c r="L1" s="3"/>
    </row>
    <row r="2" spans="1:12" s="7" customFormat="1" ht="15.75" x14ac:dyDescent="0.25">
      <c r="A2" s="8" t="s">
        <v>0</v>
      </c>
      <c r="B2" s="9" t="s">
        <v>1</v>
      </c>
      <c r="C2" s="16" t="s">
        <v>2</v>
      </c>
      <c r="D2" s="16" t="s">
        <v>5</v>
      </c>
      <c r="E2" s="11" t="s">
        <v>6</v>
      </c>
      <c r="F2" s="11" t="s">
        <v>7</v>
      </c>
      <c r="G2" s="11" t="s">
        <v>8</v>
      </c>
      <c r="H2" s="10" t="s">
        <v>9</v>
      </c>
      <c r="I2" s="9" t="s">
        <v>10</v>
      </c>
      <c r="J2" s="9" t="s">
        <v>11</v>
      </c>
      <c r="K2" s="8" t="s">
        <v>12</v>
      </c>
      <c r="L2" s="9" t="s">
        <v>13</v>
      </c>
    </row>
    <row r="3" spans="1:12" x14ac:dyDescent="0.25">
      <c r="A3" s="41">
        <v>45799</v>
      </c>
      <c r="B3" s="1" t="s">
        <v>69</v>
      </c>
      <c r="C3" s="13" t="s">
        <v>240</v>
      </c>
      <c r="D3" s="13" t="s">
        <v>238</v>
      </c>
      <c r="E3" s="14">
        <v>165.91</v>
      </c>
      <c r="F3" s="14">
        <f>E3*0.2</f>
        <v>33.182000000000002</v>
      </c>
      <c r="G3" s="14">
        <f>E3+F3</f>
        <v>199.09199999999998</v>
      </c>
      <c r="H3" s="1">
        <v>7800</v>
      </c>
      <c r="I3" s="1" t="s">
        <v>17</v>
      </c>
      <c r="J3" s="1" t="s">
        <v>239</v>
      </c>
      <c r="K3" s="41">
        <v>45824</v>
      </c>
    </row>
    <row r="4" spans="1:12" x14ac:dyDescent="0.25">
      <c r="A4" s="41">
        <v>45829</v>
      </c>
      <c r="B4" s="1" t="s">
        <v>69</v>
      </c>
      <c r="C4" s="13" t="s">
        <v>307</v>
      </c>
      <c r="D4" s="13" t="s">
        <v>238</v>
      </c>
      <c r="E4" s="14">
        <v>165.91</v>
      </c>
      <c r="F4" s="14">
        <f>E4*0.2</f>
        <v>33.182000000000002</v>
      </c>
      <c r="G4" s="14">
        <f>E4+F4</f>
        <v>199.09199999999998</v>
      </c>
      <c r="H4" s="1">
        <v>7800</v>
      </c>
      <c r="I4" s="1" t="s">
        <v>17</v>
      </c>
      <c r="J4" s="1" t="s">
        <v>239</v>
      </c>
      <c r="K4" s="41">
        <v>45854</v>
      </c>
    </row>
    <row r="5" spans="1:12" x14ac:dyDescent="0.25">
      <c r="A5" s="41">
        <v>45869</v>
      </c>
      <c r="B5" s="1" t="s">
        <v>88</v>
      </c>
      <c r="C5" s="13" t="s">
        <v>364</v>
      </c>
      <c r="D5" s="13" t="s">
        <v>365</v>
      </c>
      <c r="E5" s="14">
        <v>-430.34</v>
      </c>
      <c r="F5" s="14">
        <f>E5*0.2</f>
        <v>-86.067999999999998</v>
      </c>
      <c r="G5" s="14">
        <f>E5+F5</f>
        <v>-516.40800000000002</v>
      </c>
      <c r="H5" s="1">
        <v>7800</v>
      </c>
      <c r="I5" s="1" t="s">
        <v>17</v>
      </c>
      <c r="J5" s="1" t="s">
        <v>366</v>
      </c>
      <c r="K5" s="41">
        <v>45877</v>
      </c>
    </row>
    <row r="6" spans="1:12" x14ac:dyDescent="0.25">
      <c r="A6" s="41">
        <v>45808</v>
      </c>
      <c r="B6" s="1" t="s">
        <v>23</v>
      </c>
      <c r="C6" s="13" t="s">
        <v>367</v>
      </c>
      <c r="D6" s="13" t="s">
        <v>365</v>
      </c>
      <c r="E6" s="14">
        <v>699.78</v>
      </c>
      <c r="F6" s="14">
        <f t="shared" ref="F6:F16" si="0">E6*0.2</f>
        <v>139.95599999999999</v>
      </c>
      <c r="G6" s="14">
        <f t="shared" ref="G6:G16" si="1">E6+F6</f>
        <v>839.73599999999999</v>
      </c>
      <c r="H6" s="1">
        <v>7800</v>
      </c>
      <c r="I6" s="1" t="s">
        <v>17</v>
      </c>
      <c r="J6" s="1" t="s">
        <v>368</v>
      </c>
      <c r="K6" s="41">
        <v>45876</v>
      </c>
      <c r="L6" s="42" t="s">
        <v>369</v>
      </c>
    </row>
    <row r="7" spans="1:12" x14ac:dyDescent="0.25">
      <c r="A7" s="41">
        <v>45838</v>
      </c>
      <c r="B7" s="1" t="s">
        <v>23</v>
      </c>
      <c r="C7" s="13" t="s">
        <v>370</v>
      </c>
      <c r="D7" s="13" t="s">
        <v>365</v>
      </c>
      <c r="E7" s="14">
        <v>610.33000000000004</v>
      </c>
      <c r="F7" s="14">
        <f t="shared" si="0"/>
        <v>122.06600000000002</v>
      </c>
      <c r="G7" s="14">
        <f t="shared" si="1"/>
        <v>732.39600000000007</v>
      </c>
      <c r="H7" s="1">
        <v>7800</v>
      </c>
      <c r="I7" s="1" t="s">
        <v>17</v>
      </c>
      <c r="J7" s="1" t="s">
        <v>371</v>
      </c>
      <c r="K7" s="41">
        <v>45876</v>
      </c>
      <c r="L7" s="42" t="s">
        <v>369</v>
      </c>
    </row>
    <row r="8" spans="1:12" x14ac:dyDescent="0.25">
      <c r="A8" s="41">
        <v>45869</v>
      </c>
      <c r="B8" s="1" t="s">
        <v>23</v>
      </c>
      <c r="C8" s="13" t="s">
        <v>372</v>
      </c>
      <c r="D8" s="13" t="s">
        <v>365</v>
      </c>
      <c r="E8" s="14">
        <v>551.16999999999996</v>
      </c>
      <c r="F8" s="14">
        <f t="shared" si="0"/>
        <v>110.23399999999999</v>
      </c>
      <c r="G8" s="14">
        <f t="shared" si="1"/>
        <v>661.404</v>
      </c>
      <c r="H8" s="1">
        <v>7800</v>
      </c>
      <c r="I8" s="1" t="s">
        <v>17</v>
      </c>
      <c r="J8" s="1" t="s">
        <v>373</v>
      </c>
      <c r="K8" s="41">
        <v>45876</v>
      </c>
    </row>
    <row r="9" spans="1:12" x14ac:dyDescent="0.25">
      <c r="A9" s="41">
        <v>45900</v>
      </c>
      <c r="B9" s="1" t="s">
        <v>23</v>
      </c>
      <c r="C9" s="13" t="s">
        <v>448</v>
      </c>
      <c r="D9" s="13" t="s">
        <v>365</v>
      </c>
      <c r="E9" s="14">
        <v>568.36</v>
      </c>
      <c r="F9" s="14">
        <f t="shared" si="0"/>
        <v>113.67200000000001</v>
      </c>
      <c r="G9" s="14">
        <f t="shared" si="1"/>
        <v>682.03200000000004</v>
      </c>
      <c r="H9" s="1">
        <v>7800</v>
      </c>
      <c r="I9" s="1" t="s">
        <v>17</v>
      </c>
      <c r="J9" s="1" t="s">
        <v>449</v>
      </c>
      <c r="K9" s="41">
        <v>45917</v>
      </c>
    </row>
    <row r="10" spans="1:12" x14ac:dyDescent="0.25">
      <c r="A10" s="41">
        <v>45860</v>
      </c>
      <c r="B10" s="1" t="s">
        <v>69</v>
      </c>
      <c r="C10" s="13" t="s">
        <v>465</v>
      </c>
      <c r="D10" s="13" t="s">
        <v>238</v>
      </c>
      <c r="E10" s="14">
        <v>165.91</v>
      </c>
      <c r="F10" s="14">
        <f t="shared" si="0"/>
        <v>33.182000000000002</v>
      </c>
      <c r="G10" s="14">
        <f t="shared" si="1"/>
        <v>199.09199999999998</v>
      </c>
      <c r="H10" s="1">
        <v>7800</v>
      </c>
      <c r="I10" s="1" t="s">
        <v>17</v>
      </c>
      <c r="J10" s="1" t="s">
        <v>466</v>
      </c>
      <c r="K10" s="41">
        <v>45917</v>
      </c>
    </row>
    <row r="11" spans="1:12" x14ac:dyDescent="0.25">
      <c r="A11" s="41">
        <v>45891</v>
      </c>
      <c r="B11" s="1" t="s">
        <v>69</v>
      </c>
      <c r="C11" s="13" t="s">
        <v>467</v>
      </c>
      <c r="D11" s="13" t="s">
        <v>238</v>
      </c>
      <c r="E11" s="14">
        <v>165.91</v>
      </c>
      <c r="F11" s="14">
        <f t="shared" si="0"/>
        <v>33.182000000000002</v>
      </c>
      <c r="G11" s="14">
        <f t="shared" si="1"/>
        <v>199.09199999999998</v>
      </c>
      <c r="H11" s="1">
        <v>7800</v>
      </c>
      <c r="I11" s="1" t="s">
        <v>17</v>
      </c>
      <c r="J11" s="1" t="s">
        <v>468</v>
      </c>
      <c r="K11" s="41">
        <v>45917</v>
      </c>
    </row>
    <row r="12" spans="1:12" x14ac:dyDescent="0.25">
      <c r="A12" s="41">
        <v>45898</v>
      </c>
      <c r="B12" s="1" t="s">
        <v>69</v>
      </c>
      <c r="C12" s="13" t="s">
        <v>470</v>
      </c>
      <c r="D12" s="13" t="s">
        <v>238</v>
      </c>
      <c r="E12" s="14">
        <v>-3.91</v>
      </c>
      <c r="F12" s="14">
        <f t="shared" si="0"/>
        <v>-0.78200000000000003</v>
      </c>
      <c r="G12" s="14">
        <f t="shared" si="1"/>
        <v>-4.6920000000000002</v>
      </c>
      <c r="H12" s="1">
        <v>7800</v>
      </c>
      <c r="I12" s="1" t="s">
        <v>17</v>
      </c>
      <c r="J12" s="1" t="s">
        <v>472</v>
      </c>
      <c r="K12" s="41">
        <v>45917</v>
      </c>
      <c r="L12" s="1" t="s">
        <v>469</v>
      </c>
    </row>
    <row r="13" spans="1:12" x14ac:dyDescent="0.25">
      <c r="A13" s="41">
        <v>45898</v>
      </c>
      <c r="B13" s="1" t="s">
        <v>69</v>
      </c>
      <c r="C13" s="13" t="s">
        <v>473</v>
      </c>
      <c r="D13" s="13" t="s">
        <v>238</v>
      </c>
      <c r="E13" s="14">
        <v>-0.37</v>
      </c>
      <c r="F13" s="14">
        <f t="shared" si="0"/>
        <v>-7.3999999999999996E-2</v>
      </c>
      <c r="G13" s="14">
        <f t="shared" si="1"/>
        <v>-0.44400000000000001</v>
      </c>
      <c r="H13" s="1">
        <v>7800</v>
      </c>
      <c r="I13" s="1" t="s">
        <v>17</v>
      </c>
      <c r="J13" s="1" t="s">
        <v>471</v>
      </c>
      <c r="K13" s="41">
        <v>45917</v>
      </c>
      <c r="L13" s="1" t="s">
        <v>469</v>
      </c>
    </row>
    <row r="14" spans="1:12" x14ac:dyDescent="0.25">
      <c r="A14" s="41">
        <v>45930</v>
      </c>
      <c r="B14" s="1" t="s">
        <v>23</v>
      </c>
      <c r="C14" s="13" t="s">
        <v>558</v>
      </c>
      <c r="D14" s="13" t="s">
        <v>365</v>
      </c>
      <c r="E14" s="14">
        <v>679.01</v>
      </c>
      <c r="F14" s="14">
        <f t="shared" si="0"/>
        <v>135.80199999999999</v>
      </c>
      <c r="G14" s="14">
        <f t="shared" si="1"/>
        <v>814.81200000000001</v>
      </c>
      <c r="H14" s="1">
        <v>7800</v>
      </c>
      <c r="I14" s="1" t="s">
        <v>17</v>
      </c>
      <c r="J14" s="1" t="s">
        <v>559</v>
      </c>
      <c r="K14" s="41">
        <v>46007</v>
      </c>
    </row>
    <row r="15" spans="1:12" x14ac:dyDescent="0.25">
      <c r="A15" s="41">
        <v>45961</v>
      </c>
      <c r="B15" s="1" t="s">
        <v>23</v>
      </c>
      <c r="C15" s="13" t="s">
        <v>560</v>
      </c>
      <c r="D15" s="13" t="s">
        <v>365</v>
      </c>
      <c r="E15" s="14">
        <v>1142.5899999999999</v>
      </c>
      <c r="F15" s="14">
        <f t="shared" si="0"/>
        <v>228.518</v>
      </c>
      <c r="G15" s="14">
        <f t="shared" si="1"/>
        <v>1371.1079999999999</v>
      </c>
      <c r="H15" s="1">
        <v>7800</v>
      </c>
      <c r="I15" s="1" t="s">
        <v>17</v>
      </c>
      <c r="J15" s="1" t="s">
        <v>561</v>
      </c>
      <c r="K15" s="41">
        <v>46007</v>
      </c>
    </row>
    <row r="16" spans="1:12" x14ac:dyDescent="0.25">
      <c r="A16" s="41">
        <v>45991</v>
      </c>
      <c r="B16" s="1" t="s">
        <v>23</v>
      </c>
      <c r="C16" s="13" t="s">
        <v>556</v>
      </c>
      <c r="D16" s="13" t="s">
        <v>365</v>
      </c>
      <c r="E16" s="14">
        <v>1188.74</v>
      </c>
      <c r="F16" s="14">
        <f>E16*0.2</f>
        <v>237.74800000000002</v>
      </c>
      <c r="G16" s="14">
        <f>E16+F16</f>
        <v>1426.4880000000001</v>
      </c>
      <c r="H16" s="1">
        <v>7800</v>
      </c>
      <c r="I16" s="1" t="s">
        <v>17</v>
      </c>
      <c r="J16" s="1" t="s">
        <v>557</v>
      </c>
      <c r="K16" s="41">
        <v>46007</v>
      </c>
    </row>
    <row r="17" spans="1:11" x14ac:dyDescent="0.25">
      <c r="A17" s="41">
        <v>45921</v>
      </c>
      <c r="B17" s="1" t="s">
        <v>69</v>
      </c>
      <c r="C17" s="13" t="s">
        <v>562</v>
      </c>
      <c r="D17" s="13" t="s">
        <v>238</v>
      </c>
      <c r="E17" s="14">
        <v>162</v>
      </c>
      <c r="F17" s="14">
        <f>E17*0.2</f>
        <v>32.4</v>
      </c>
      <c r="G17" s="14">
        <f>E17+F17</f>
        <v>194.4</v>
      </c>
      <c r="H17" s="1">
        <v>7800</v>
      </c>
      <c r="I17" s="1" t="s">
        <v>17</v>
      </c>
      <c r="J17" s="1" t="s">
        <v>563</v>
      </c>
      <c r="K17" s="41"/>
    </row>
    <row r="18" spans="1:11" x14ac:dyDescent="0.25">
      <c r="H18" s="1">
        <v>7800</v>
      </c>
      <c r="I18" s="1" t="s">
        <v>17</v>
      </c>
    </row>
    <row r="19" spans="1:11" x14ac:dyDescent="0.25">
      <c r="H19" s="1">
        <v>7800</v>
      </c>
      <c r="I19" s="1" t="s">
        <v>17</v>
      </c>
    </row>
    <row r="20" spans="1:11" x14ac:dyDescent="0.25">
      <c r="H20" s="1">
        <v>7800</v>
      </c>
      <c r="I20" s="1" t="s">
        <v>17</v>
      </c>
    </row>
    <row r="21" spans="1:11" x14ac:dyDescent="0.25">
      <c r="H21" s="1">
        <v>7800</v>
      </c>
      <c r="I21" s="1" t="s">
        <v>17</v>
      </c>
    </row>
    <row r="22" spans="1:11" x14ac:dyDescent="0.25">
      <c r="H22" s="1">
        <v>7800</v>
      </c>
      <c r="I22" s="1" t="s">
        <v>17</v>
      </c>
    </row>
    <row r="23" spans="1:11" x14ac:dyDescent="0.25">
      <c r="H23" s="1">
        <v>7800</v>
      </c>
      <c r="I23" s="1" t="s">
        <v>17</v>
      </c>
    </row>
    <row r="24" spans="1:11" x14ac:dyDescent="0.25">
      <c r="H24" s="1">
        <v>7800</v>
      </c>
      <c r="I24" s="1" t="s">
        <v>17</v>
      </c>
    </row>
    <row r="25" spans="1:11" x14ac:dyDescent="0.25">
      <c r="H25" s="1">
        <v>7800</v>
      </c>
      <c r="I25" s="1" t="s">
        <v>17</v>
      </c>
    </row>
    <row r="26" spans="1:11" x14ac:dyDescent="0.25">
      <c r="H26" s="1">
        <v>7800</v>
      </c>
      <c r="I26" s="1" t="s">
        <v>17</v>
      </c>
    </row>
    <row r="27" spans="1:11" x14ac:dyDescent="0.25">
      <c r="H27" s="1">
        <v>7800</v>
      </c>
      <c r="I27" s="1" t="s">
        <v>17</v>
      </c>
    </row>
    <row r="28" spans="1:11" x14ac:dyDescent="0.25">
      <c r="H28" s="1">
        <v>7800</v>
      </c>
      <c r="I28" s="1" t="s">
        <v>17</v>
      </c>
    </row>
    <row r="29" spans="1:11" x14ac:dyDescent="0.25">
      <c r="H29" s="1">
        <v>7800</v>
      </c>
      <c r="I29" s="1" t="s">
        <v>17</v>
      </c>
    </row>
    <row r="30" spans="1:11" x14ac:dyDescent="0.25">
      <c r="H30" s="1">
        <v>7800</v>
      </c>
      <c r="I30" s="1" t="s">
        <v>17</v>
      </c>
    </row>
    <row r="31" spans="1:11" x14ac:dyDescent="0.25">
      <c r="H31" s="1">
        <v>7800</v>
      </c>
      <c r="I31" s="1" t="s">
        <v>17</v>
      </c>
    </row>
  </sheetData>
  <autoFilter ref="A2:L2" xr:uid="{3DC09A6D-E6B6-46D4-8CFF-F76D9DF8CB68}"/>
  <mergeCells count="1">
    <mergeCell ref="A1:K1"/>
  </mergeCells>
  <phoneticPr fontId="4" type="noConversion"/>
  <pageMargins left="0.7" right="0.7" top="0.75" bottom="0.75" header="0.3" footer="0.3"/>
  <pageSetup paperSize="9"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6062E-FA1F-4566-8A30-FE894F921CA9}">
  <sheetPr>
    <tabColor theme="9" tint="0.79998168889431442"/>
  </sheetPr>
  <dimension ref="A1:J1"/>
  <sheetViews>
    <sheetView zoomScaleNormal="100" workbookViewId="0">
      <selection activeCell="E16" sqref="E16"/>
    </sheetView>
  </sheetViews>
  <sheetFormatPr defaultColWidth="20.5703125" defaultRowHeight="12.75" x14ac:dyDescent="0.2"/>
  <cols>
    <col min="1" max="1" width="18.7109375" style="28" bestFit="1" customWidth="1"/>
    <col min="2" max="2" width="16.85546875" style="28" bestFit="1" customWidth="1"/>
    <col min="3" max="3" width="73.28515625" style="28" bestFit="1" customWidth="1"/>
    <col min="4" max="4" width="33.42578125" style="18" bestFit="1" customWidth="1"/>
    <col min="5" max="5" width="14.85546875" style="28" bestFit="1" customWidth="1"/>
    <col min="6" max="6" width="9.28515625" style="28" bestFit="1" customWidth="1"/>
    <col min="7" max="7" width="17.42578125" style="28" bestFit="1" customWidth="1"/>
    <col min="8" max="8" width="14.140625" style="28" bestFit="1" customWidth="1"/>
    <col min="9" max="9" width="22.140625" style="28" bestFit="1" customWidth="1"/>
    <col min="10" max="10" width="16.42578125" style="28" bestFit="1" customWidth="1"/>
    <col min="11" max="16384" width="20.5703125" style="28"/>
  </cols>
  <sheetData>
    <row r="1" spans="1:10" x14ac:dyDescent="0.2">
      <c r="A1" s="19" t="s">
        <v>0</v>
      </c>
      <c r="B1" s="17" t="s">
        <v>1</v>
      </c>
      <c r="C1" s="17" t="s">
        <v>2</v>
      </c>
      <c r="D1" s="17" t="s">
        <v>5</v>
      </c>
      <c r="E1" s="20" t="s">
        <v>6</v>
      </c>
      <c r="F1" s="20" t="s">
        <v>7</v>
      </c>
      <c r="G1" s="20" t="s">
        <v>8</v>
      </c>
      <c r="H1" s="20" t="s">
        <v>89</v>
      </c>
      <c r="I1" s="23" t="s">
        <v>10</v>
      </c>
      <c r="J1" s="23" t="s">
        <v>11</v>
      </c>
    </row>
  </sheetData>
  <autoFilter ref="A1:P1" xr:uid="{3816062E-FA1F-4566-8A30-FE894F921CA9}"/>
  <conditionalFormatting sqref="J1:J1048576">
    <cfRule type="duplicateValues" dxfId="0" priority="1"/>
  </conditionalFormatting>
  <pageMargins left="0.7" right="0.7" top="0.75" bottom="0.75" header="0.3" footer="0.3"/>
  <pageSetup paperSize="9" orientation="portrait" horizontalDpi="4294967295" verticalDpi="4294967295"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AAD78-B207-4F45-A9B2-65BD464EBBBA}">
  <sheetPr>
    <tabColor theme="5" tint="0.79998168889431442"/>
  </sheetPr>
  <dimension ref="A1:O1"/>
  <sheetViews>
    <sheetView workbookViewId="0">
      <selection activeCell="A2" sqref="A2:N13"/>
    </sheetView>
  </sheetViews>
  <sheetFormatPr defaultRowHeight="15" x14ac:dyDescent="0.25"/>
  <cols>
    <col min="1" max="1" width="20.7109375" bestFit="1" customWidth="1"/>
    <col min="2" max="2" width="17.5703125" bestFit="1" customWidth="1"/>
    <col min="3" max="3" width="33.28515625" bestFit="1" customWidth="1"/>
    <col min="4" max="4" width="8.7109375" bestFit="1" customWidth="1"/>
    <col min="5" max="5" width="26.85546875" bestFit="1" customWidth="1"/>
    <col min="6" max="6" width="24.42578125" bestFit="1" customWidth="1"/>
    <col min="7" max="7" width="16.7109375" bestFit="1" customWidth="1"/>
    <col min="8" max="8" width="9.5703125" bestFit="1" customWidth="1"/>
    <col min="9" max="9" width="19.5703125" bestFit="1" customWidth="1"/>
    <col min="10" max="10" width="22.28515625" bestFit="1" customWidth="1"/>
    <col min="11" max="11" width="11.85546875" bestFit="1" customWidth="1"/>
    <col min="12" max="12" width="26.28515625" bestFit="1" customWidth="1"/>
    <col min="13" max="13" width="13.7109375" bestFit="1" customWidth="1"/>
    <col min="14" max="14" width="18.85546875" bestFit="1" customWidth="1"/>
    <col min="15" max="15" width="14" bestFit="1" customWidth="1"/>
  </cols>
  <sheetData>
    <row r="1" spans="1:15" x14ac:dyDescent="0.25">
      <c r="A1" s="2" t="s">
        <v>0</v>
      </c>
      <c r="B1" s="3" t="s">
        <v>1</v>
      </c>
      <c r="C1" s="3" t="s">
        <v>2</v>
      </c>
      <c r="D1" s="3" t="s">
        <v>3</v>
      </c>
      <c r="E1" s="2" t="s">
        <v>4</v>
      </c>
      <c r="F1" s="3" t="s">
        <v>5</v>
      </c>
      <c r="G1" s="4" t="s">
        <v>6</v>
      </c>
      <c r="H1" s="4" t="s">
        <v>7</v>
      </c>
      <c r="I1" s="4" t="s">
        <v>8</v>
      </c>
      <c r="J1" s="3" t="s">
        <v>66</v>
      </c>
      <c r="K1" s="5" t="s">
        <v>9</v>
      </c>
      <c r="L1" s="3" t="s">
        <v>10</v>
      </c>
      <c r="M1" s="3" t="s">
        <v>11</v>
      </c>
      <c r="N1" s="2" t="s">
        <v>12</v>
      </c>
      <c r="O1" s="3" t="s">
        <v>13</v>
      </c>
    </row>
  </sheetData>
  <autoFilter ref="A1:K1" xr:uid="{ADAAAD78-B207-4F45-A9B2-65BD464EBBBA}"/>
  <pageMargins left="0.7" right="0.7" top="0.75" bottom="0.75" header="0.3" footer="0.3"/>
  <pageSetup paperSize="9" orientation="portrait" horizontalDpi="4294967295" verticalDpi="4294967295"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B9E1-0FAC-4F41-BE14-FA672BF78C4E}">
  <dimension ref="A1:G42"/>
  <sheetViews>
    <sheetView workbookViewId="0">
      <selection activeCell="C22" sqref="C22"/>
    </sheetView>
  </sheetViews>
  <sheetFormatPr defaultColWidth="9.140625" defaultRowHeight="15.75" x14ac:dyDescent="0.25"/>
  <cols>
    <col min="1" max="1" width="26.28515625" style="32" bestFit="1" customWidth="1"/>
    <col min="2" max="2" width="35.42578125" style="32" bestFit="1" customWidth="1"/>
    <col min="3" max="3" width="5.5703125" style="32" bestFit="1" customWidth="1"/>
    <col min="4" max="4" width="9.140625" style="32"/>
    <col min="5" max="5" width="22.140625" style="31" bestFit="1" customWidth="1"/>
    <col min="6" max="6" width="5.5703125" style="31" bestFit="1" customWidth="1"/>
    <col min="7" max="8" width="9.140625" style="32"/>
    <col min="9" max="9" width="23.140625" style="32" bestFit="1" customWidth="1"/>
    <col min="10" max="10" width="7.140625" style="32" bestFit="1" customWidth="1"/>
    <col min="11" max="16384" width="9.140625" style="32"/>
  </cols>
  <sheetData>
    <row r="1" spans="1:7" ht="16.5" thickBot="1" x14ac:dyDescent="0.3">
      <c r="A1" s="54" t="s">
        <v>91</v>
      </c>
      <c r="B1" s="55"/>
      <c r="C1" s="56"/>
    </row>
    <row r="2" spans="1:7" x14ac:dyDescent="0.25">
      <c r="A2" s="57"/>
      <c r="B2" s="57"/>
      <c r="C2" s="57"/>
      <c r="G2" s="30"/>
    </row>
    <row r="3" spans="1:7" x14ac:dyDescent="0.25">
      <c r="A3" s="49" t="s">
        <v>92</v>
      </c>
      <c r="B3" s="49"/>
      <c r="C3" s="49"/>
      <c r="E3" s="38" t="s">
        <v>93</v>
      </c>
      <c r="F3" s="38" t="s">
        <v>94</v>
      </c>
      <c r="G3" s="30"/>
    </row>
    <row r="4" spans="1:7" x14ac:dyDescent="0.25">
      <c r="A4" s="29" t="s">
        <v>95</v>
      </c>
      <c r="B4" s="29" t="s">
        <v>96</v>
      </c>
      <c r="C4" s="29" t="s">
        <v>94</v>
      </c>
      <c r="E4" s="39" t="s">
        <v>97</v>
      </c>
      <c r="F4" s="39">
        <v>7820</v>
      </c>
      <c r="G4" s="30"/>
    </row>
    <row r="5" spans="1:7" x14ac:dyDescent="0.25">
      <c r="A5" s="33" t="s">
        <v>98</v>
      </c>
      <c r="B5" s="33" t="s">
        <v>99</v>
      </c>
      <c r="C5" s="33">
        <v>7400</v>
      </c>
      <c r="E5" s="39" t="s">
        <v>100</v>
      </c>
      <c r="F5" s="39">
        <v>7800</v>
      </c>
      <c r="G5" s="30"/>
    </row>
    <row r="6" spans="1:7" x14ac:dyDescent="0.25">
      <c r="A6" s="33" t="s">
        <v>101</v>
      </c>
      <c r="B6" s="33"/>
      <c r="C6" s="33">
        <v>7420</v>
      </c>
      <c r="E6" s="39" t="s">
        <v>102</v>
      </c>
      <c r="F6" s="39">
        <v>7830</v>
      </c>
      <c r="G6" s="30"/>
    </row>
    <row r="7" spans="1:7" x14ac:dyDescent="0.25">
      <c r="A7" s="33" t="s">
        <v>33</v>
      </c>
      <c r="B7" s="33" t="s">
        <v>103</v>
      </c>
      <c r="C7" s="33">
        <v>7430</v>
      </c>
      <c r="E7" s="39" t="s">
        <v>84</v>
      </c>
      <c r="F7" s="39">
        <v>7800</v>
      </c>
      <c r="G7" s="30"/>
    </row>
    <row r="8" spans="1:7" x14ac:dyDescent="0.25">
      <c r="A8" s="33" t="s">
        <v>104</v>
      </c>
      <c r="B8" s="33" t="s">
        <v>105</v>
      </c>
      <c r="C8" s="33">
        <v>7450</v>
      </c>
      <c r="E8" s="39" t="s">
        <v>106</v>
      </c>
      <c r="F8" s="39">
        <v>7830</v>
      </c>
      <c r="G8" s="30"/>
    </row>
    <row r="9" spans="1:7" x14ac:dyDescent="0.25">
      <c r="A9" s="33" t="s">
        <v>107</v>
      </c>
      <c r="B9" s="33"/>
      <c r="C9" s="33">
        <v>7460</v>
      </c>
      <c r="E9" s="39" t="s">
        <v>108</v>
      </c>
      <c r="F9" s="39">
        <v>7840</v>
      </c>
      <c r="G9" s="30"/>
    </row>
    <row r="10" spans="1:7" x14ac:dyDescent="0.25">
      <c r="A10" s="33" t="s">
        <v>109</v>
      </c>
      <c r="B10" s="33"/>
      <c r="C10" s="33">
        <v>7470</v>
      </c>
      <c r="E10" s="39" t="s">
        <v>110</v>
      </c>
      <c r="F10" s="39">
        <v>7800</v>
      </c>
      <c r="G10" s="30"/>
    </row>
    <row r="11" spans="1:7" x14ac:dyDescent="0.25">
      <c r="A11" s="50"/>
      <c r="B11" s="50"/>
      <c r="C11" s="50"/>
      <c r="E11" s="39" t="s">
        <v>111</v>
      </c>
      <c r="F11" s="39">
        <v>7830</v>
      </c>
      <c r="G11" s="30"/>
    </row>
    <row r="12" spans="1:7" x14ac:dyDescent="0.25">
      <c r="A12" s="49" t="s">
        <v>112</v>
      </c>
      <c r="B12" s="49"/>
      <c r="C12" s="49"/>
      <c r="E12" s="39" t="s">
        <v>113</v>
      </c>
      <c r="F12" s="39">
        <v>7820</v>
      </c>
      <c r="G12" s="30"/>
    </row>
    <row r="13" spans="1:7" x14ac:dyDescent="0.25">
      <c r="A13" s="29" t="s">
        <v>95</v>
      </c>
      <c r="B13" s="29" t="s">
        <v>96</v>
      </c>
      <c r="C13" s="29" t="s">
        <v>94</v>
      </c>
      <c r="E13" s="39" t="s">
        <v>114</v>
      </c>
      <c r="F13" s="39">
        <v>7820</v>
      </c>
      <c r="G13" s="30"/>
    </row>
    <row r="14" spans="1:7" x14ac:dyDescent="0.25">
      <c r="A14" s="33" t="s">
        <v>17</v>
      </c>
      <c r="B14" s="33" t="s">
        <v>115</v>
      </c>
      <c r="C14" s="33">
        <v>7800</v>
      </c>
      <c r="E14" s="39" t="s">
        <v>116</v>
      </c>
      <c r="F14" s="39">
        <v>7820</v>
      </c>
      <c r="G14" s="30"/>
    </row>
    <row r="15" spans="1:7" x14ac:dyDescent="0.25">
      <c r="A15" s="33" t="s">
        <v>22</v>
      </c>
      <c r="B15" s="33" t="s">
        <v>117</v>
      </c>
      <c r="C15" s="33">
        <v>7810</v>
      </c>
      <c r="E15" s="39" t="s">
        <v>16</v>
      </c>
      <c r="F15" s="39">
        <v>7800</v>
      </c>
      <c r="G15" s="30"/>
    </row>
    <row r="16" spans="1:7" x14ac:dyDescent="0.25">
      <c r="A16" s="33" t="s">
        <v>53</v>
      </c>
      <c r="B16" s="33" t="s">
        <v>118</v>
      </c>
      <c r="C16" s="33">
        <v>7820</v>
      </c>
      <c r="E16" s="39" t="s">
        <v>119</v>
      </c>
      <c r="F16" s="39">
        <v>7070</v>
      </c>
      <c r="G16" s="30"/>
    </row>
    <row r="17" spans="1:7" x14ac:dyDescent="0.25">
      <c r="A17" s="50"/>
      <c r="B17" s="50"/>
      <c r="C17" s="50"/>
      <c r="E17" s="39" t="s">
        <v>120</v>
      </c>
      <c r="F17" s="39">
        <v>7070</v>
      </c>
      <c r="G17" s="30"/>
    </row>
    <row r="18" spans="1:7" x14ac:dyDescent="0.25">
      <c r="A18" s="49" t="s">
        <v>121</v>
      </c>
      <c r="B18" s="49"/>
      <c r="C18" s="49"/>
      <c r="G18" s="30"/>
    </row>
    <row r="19" spans="1:7" x14ac:dyDescent="0.25">
      <c r="A19" s="29" t="s">
        <v>95</v>
      </c>
      <c r="B19" s="29" t="s">
        <v>96</v>
      </c>
      <c r="C19" s="29" t="s">
        <v>94</v>
      </c>
      <c r="G19" s="30"/>
    </row>
    <row r="20" spans="1:7" x14ac:dyDescent="0.25">
      <c r="A20" s="33" t="s">
        <v>122</v>
      </c>
      <c r="B20" s="33" t="s">
        <v>123</v>
      </c>
      <c r="C20" s="33">
        <v>6120</v>
      </c>
    </row>
    <row r="21" spans="1:7" x14ac:dyDescent="0.25">
      <c r="A21" s="33" t="s">
        <v>124</v>
      </c>
      <c r="B21" s="33" t="s">
        <v>125</v>
      </c>
      <c r="C21" s="33">
        <v>7570</v>
      </c>
    </row>
    <row r="22" spans="1:7" x14ac:dyDescent="0.25">
      <c r="A22" s="33" t="s">
        <v>90</v>
      </c>
      <c r="B22" s="33" t="s">
        <v>126</v>
      </c>
      <c r="C22" s="33">
        <v>7830</v>
      </c>
    </row>
    <row r="23" spans="1:7" x14ac:dyDescent="0.25">
      <c r="A23" s="33" t="s">
        <v>127</v>
      </c>
      <c r="B23" s="33" t="s">
        <v>128</v>
      </c>
      <c r="C23" s="33">
        <v>7840</v>
      </c>
    </row>
    <row r="24" spans="1:7" x14ac:dyDescent="0.25">
      <c r="A24" s="33" t="s">
        <v>129</v>
      </c>
      <c r="B24" s="33" t="s">
        <v>130</v>
      </c>
      <c r="C24" s="34" t="s">
        <v>131</v>
      </c>
    </row>
    <row r="25" spans="1:7" x14ac:dyDescent="0.25">
      <c r="A25" s="50"/>
      <c r="B25" s="50"/>
      <c r="C25" s="50"/>
    </row>
    <row r="26" spans="1:7" x14ac:dyDescent="0.25">
      <c r="A26" s="51" t="s">
        <v>132</v>
      </c>
      <c r="B26" s="52"/>
      <c r="C26" s="53"/>
    </row>
    <row r="27" spans="1:7" x14ac:dyDescent="0.25">
      <c r="A27" s="29" t="s">
        <v>95</v>
      </c>
      <c r="B27" s="29" t="s">
        <v>96</v>
      </c>
      <c r="C27" s="29" t="s">
        <v>94</v>
      </c>
    </row>
    <row r="28" spans="1:7" x14ac:dyDescent="0.25">
      <c r="A28" s="33" t="s">
        <v>133</v>
      </c>
      <c r="B28" s="33" t="s">
        <v>134</v>
      </c>
      <c r="C28" s="33">
        <v>6310</v>
      </c>
    </row>
    <row r="29" spans="1:7" x14ac:dyDescent="0.25">
      <c r="A29" s="33" t="s">
        <v>135</v>
      </c>
      <c r="B29" s="33" t="s">
        <v>136</v>
      </c>
      <c r="C29" s="33">
        <v>7070</v>
      </c>
    </row>
    <row r="30" spans="1:7" x14ac:dyDescent="0.25">
      <c r="A30" s="33" t="s">
        <v>137</v>
      </c>
      <c r="B30" s="33" t="s">
        <v>138</v>
      </c>
      <c r="C30" s="33">
        <v>7530</v>
      </c>
    </row>
    <row r="31" spans="1:7" x14ac:dyDescent="0.25">
      <c r="A31" s="33" t="s">
        <v>139</v>
      </c>
      <c r="B31" s="33" t="s">
        <v>140</v>
      </c>
      <c r="C31" s="33">
        <v>7550</v>
      </c>
    </row>
    <row r="32" spans="1:7" x14ac:dyDescent="0.25">
      <c r="A32" s="50"/>
      <c r="B32" s="50"/>
      <c r="C32" s="50"/>
    </row>
    <row r="33" spans="1:3" x14ac:dyDescent="0.25">
      <c r="A33" s="49" t="s">
        <v>141</v>
      </c>
      <c r="B33" s="49"/>
      <c r="C33" s="49"/>
    </row>
    <row r="34" spans="1:3" x14ac:dyDescent="0.25">
      <c r="A34" s="33" t="s">
        <v>142</v>
      </c>
      <c r="B34" s="33"/>
      <c r="C34" s="33">
        <v>7020</v>
      </c>
    </row>
    <row r="35" spans="1:3" x14ac:dyDescent="0.25">
      <c r="A35" s="35" t="s">
        <v>143</v>
      </c>
      <c r="B35" s="35"/>
      <c r="C35" s="35">
        <v>7050</v>
      </c>
    </row>
    <row r="36" spans="1:3" x14ac:dyDescent="0.25">
      <c r="A36" s="33" t="s">
        <v>144</v>
      </c>
      <c r="B36" s="33"/>
      <c r="C36" s="33">
        <v>7080</v>
      </c>
    </row>
    <row r="37" spans="1:3" x14ac:dyDescent="0.25">
      <c r="A37" s="36"/>
      <c r="B37" s="36"/>
      <c r="C37" s="36"/>
    </row>
    <row r="38" spans="1:3" x14ac:dyDescent="0.25">
      <c r="A38" s="49" t="s">
        <v>145</v>
      </c>
      <c r="B38" s="49"/>
      <c r="C38" s="49"/>
    </row>
    <row r="39" spans="1:3" x14ac:dyDescent="0.25">
      <c r="A39" s="29" t="s">
        <v>95</v>
      </c>
      <c r="B39" s="29" t="s">
        <v>96</v>
      </c>
      <c r="C39" s="29" t="s">
        <v>94</v>
      </c>
    </row>
    <row r="40" spans="1:3" x14ac:dyDescent="0.25">
      <c r="A40" s="33" t="s">
        <v>146</v>
      </c>
      <c r="B40" s="33" t="s">
        <v>147</v>
      </c>
      <c r="C40" s="33">
        <v>7720</v>
      </c>
    </row>
    <row r="41" spans="1:3" x14ac:dyDescent="0.25">
      <c r="A41" s="37" t="s">
        <v>25</v>
      </c>
      <c r="B41" s="33" t="s">
        <v>148</v>
      </c>
      <c r="C41" s="33">
        <v>7520</v>
      </c>
    </row>
    <row r="42" spans="1:3" x14ac:dyDescent="0.25">
      <c r="A42" s="36"/>
      <c r="B42" s="36"/>
      <c r="C42" s="36"/>
    </row>
  </sheetData>
  <mergeCells count="12">
    <mergeCell ref="A1:C1"/>
    <mergeCell ref="A2:C2"/>
    <mergeCell ref="A3:C3"/>
    <mergeCell ref="A11:C11"/>
    <mergeCell ref="A12:C12"/>
    <mergeCell ref="A33:C33"/>
    <mergeCell ref="A38:C38"/>
    <mergeCell ref="A17:C17"/>
    <mergeCell ref="A18:C18"/>
    <mergeCell ref="A25:C25"/>
    <mergeCell ref="A26:C26"/>
    <mergeCell ref="A32:C3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2EFD167E609BD4B8610BB70FB97BF19" ma:contentTypeVersion="16" ma:contentTypeDescription="Create a new document." ma:contentTypeScope="" ma:versionID="d2a67074b8de658cbc5c4ebabb95bbb4">
  <xsd:schema xmlns:xsd="http://www.w3.org/2001/XMLSchema" xmlns:xs="http://www.w3.org/2001/XMLSchema" xmlns:p="http://schemas.microsoft.com/office/2006/metadata/properties" xmlns:ns2="ea875cb5-865b-4ce3-8ec4-4416bbcf7a8f" xmlns:ns3="08c584b7-5d9b-43e0-a98b-4f0ba07afefb" targetNamespace="http://schemas.microsoft.com/office/2006/metadata/properties" ma:root="true" ma:fieldsID="c802623ab11138881fee3e16398e0bfe" ns2:_="" ns3:_="">
    <xsd:import namespace="ea875cb5-865b-4ce3-8ec4-4416bbcf7a8f"/>
    <xsd:import namespace="08c584b7-5d9b-43e0-a98b-4f0ba07afef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875cb5-865b-4ce3-8ec4-4416bbcf7a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ac7447e-e309-4c21-a668-632085f6734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8c584b7-5d9b-43e0-a98b-4f0ba07afef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10b40f8-e9a5-4af7-94bf-2ba7cea81f7f}" ma:internalName="TaxCatchAll" ma:showField="CatchAllData" ma:web="08c584b7-5d9b-43e0-a98b-4f0ba07afefb">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a875cb5-865b-4ce3-8ec4-4416bbcf7a8f">
      <Terms xmlns="http://schemas.microsoft.com/office/infopath/2007/PartnerControls"/>
    </lcf76f155ced4ddcb4097134ff3c332f>
    <TaxCatchAll xmlns="08c584b7-5d9b-43e0-a98b-4f0ba07afef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D9709E-921E-45E8-9B58-5AF876FCD1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875cb5-865b-4ce3-8ec4-4416bbcf7a8f"/>
    <ds:schemaRef ds:uri="08c584b7-5d9b-43e0-a98b-4f0ba07afef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C0A9D06-1DD1-4301-8195-74F594F2564B}">
  <ds:schemaRefs>
    <ds:schemaRef ds:uri="http://schemas.microsoft.com/office/2006/metadata/properties"/>
    <ds:schemaRef ds:uri="http://schemas.microsoft.com/office/infopath/2007/PartnerControls"/>
    <ds:schemaRef ds:uri="ea875cb5-865b-4ce3-8ec4-4416bbcf7a8f"/>
    <ds:schemaRef ds:uri="08c584b7-5d9b-43e0-a98b-4f0ba07afefb"/>
  </ds:schemaRefs>
</ds:datastoreItem>
</file>

<file path=customXml/itemProps3.xml><?xml version="1.0" encoding="utf-8"?>
<ds:datastoreItem xmlns:ds="http://schemas.openxmlformats.org/officeDocument/2006/customXml" ds:itemID="{FFDCC90E-F2C1-42F7-AA2A-9DFF39DB8F9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GENERAL</vt:lpstr>
      <vt:lpstr>APS</vt:lpstr>
      <vt:lpstr>COMPCO</vt:lpstr>
      <vt:lpstr>PHS</vt:lpstr>
      <vt:lpstr>BINS</vt:lpstr>
      <vt:lpstr>Temp Opens</vt:lpstr>
      <vt:lpstr>Temp Closes</vt:lpstr>
      <vt:lpstr>CODES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Jade Lapere</dc:creator>
  <cp:keywords/>
  <dc:description/>
  <cp:lastModifiedBy>Samantha Boyle</cp:lastModifiedBy>
  <cp:revision/>
  <dcterms:created xsi:type="dcterms:W3CDTF">2021-01-13T10:51:52Z</dcterms:created>
  <dcterms:modified xsi:type="dcterms:W3CDTF">2025-12-16T14:22:12Z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0x010100B2EFD167E609BD4B8610BB70FB97BF19</vt:lpwstr>
  </property>
  <property fmtid="{D5CDD505-2E9C-101B-9397-08002B2CF9AE}" pid="3" name="Order">
    <vt:r8>51999400</vt:r8>
  </property>
  <property fmtid="{D5CDD505-2E9C-101B-9397-08002B2CF9AE}" pid="4" name="MediaServiceImageTags">
    <vt:lpwstr/>
  </property>
</Properties>
</file>